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2cbeea239c941ed" /></Relationships>
</file>

<file path=xl/workbook.xml><?xml version="1.0" encoding="utf-8"?>
<x:workbook xmlns:x="http://schemas.openxmlformats.org/spreadsheetml/2006/main">
  <x:sheets>
    <x:sheet xmlns:r="http://schemas.openxmlformats.org/officeDocument/2006/relationships" name="START HERE" sheetId="1" r:id="R9bdf92a252d84c1f"/>
    <x:sheet xmlns:r="http://schemas.openxmlformats.org/officeDocument/2006/relationships" name="Market Inputs" sheetId="2" r:id="Rf23072b0c51a4d87"/>
    <x:sheet xmlns:r="http://schemas.openxmlformats.org/officeDocument/2006/relationships" name="Deal Room" sheetId="3" r:id="R40b6a0ecb4784fb6"/>
    <x:sheet xmlns:r="http://schemas.openxmlformats.org/officeDocument/2006/relationships" name="Student Decisions" sheetId="4" r:id="Rc17e441538314dd9"/>
    <x:sheet xmlns:r="http://schemas.openxmlformats.org/officeDocument/2006/relationships" name="Professor Control" sheetId="5" r:id="R82968c49b3d746d4"/>
    <x:sheet xmlns:r="http://schemas.openxmlformats.org/officeDocument/2006/relationships" name="Results" sheetId="6" r:id="Rc2a970f7ff5e4a5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Red](0.0%);-"/>
    <x:numFmt numFmtId="201" formatCode="$0.00"/>
    <x:numFmt numFmtId="202" formatCode="$#,##0"/>
    <x:numFmt numFmtId="203" formatCode="$#,##0.00_);[Red]($#,##0.00);-"/>
    <x:numFmt numFmtId="204" formatCode="0.0"/>
    <x:numFmt numFmtId="205" formatCode="0.00x;[Red](0.00x);-"/>
  </x:numFmts>
  <x:fonts count="8">
    <x:font>
      <x:sz val="11"/>
      <x:name val="Carlito"/>
    </x:font>
    <x:font>
      <x:b/>
      <x:sz val="16"/>
      <x:color rgb="FFFFFFFF"/>
      <x:name val="Carlito"/>
    </x:font>
    <x:font>
      <x:b/>
      <x:sz val="11"/>
      <x:color rgb="FFFFFFFF"/>
      <x:name val="Carlito"/>
    </x:font>
    <x:font>
      <x:b/>
      <x:sz val="11"/>
      <x:name val="Carlito"/>
    </x:font>
    <x:font>
      <x:b/>
      <x:sz val="11"/>
      <x:color rgb="FF000000"/>
      <x:name val="Carlito"/>
    </x:font>
    <x:font>
      <x:sz val="11"/>
      <x:color rgb="FF008000"/>
      <x:name val="Carlito"/>
    </x:font>
    <x:font>
      <x:sz val="11"/>
      <x:color rgb="FF0000FF"/>
      <x:name val="Carlito"/>
    </x:font>
    <x:font>
      <x:sz val="11"/>
      <x:color rgb="FF000000"/>
      <x:name val="Carlito"/>
    </x:font>
  </x:fonts>
  <x:fills count="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203" fontId="7" fillId="0" borderId="0" xfId="0" applyNumberFormat="1" applyFont="1" applyFill="1" applyBorder="1"/>
    <x:xf numFmtId="203" fontId="7" fillId="0" borderId="1" xfId="0" applyNumberFormat="1" applyFont="1" applyFill="1" applyBorder="1"/>
    <x:xf numFmtId="205" fontId="7" fillId="0" borderId="0" xfId="0" applyNumberFormat="1" applyFont="1" applyFill="1" applyBorder="1"/>
    <x:xf numFmtId="205" fontId="7" fillId="0" borderId="1" xfId="0" applyNumberFormat="1" applyFont="1" applyFill="1" applyBorder="1"/>
    <x:xf numFmtId="200" fontId="7" fillId="0" borderId="0" xfId="0" applyNumberFormat="1" applyFont="1" applyFill="1" applyBorder="1"/>
    <x:xf numFmtId="200" fontId="7" fillId="0" borderId="1" xfId="0" applyNumberFormat="1" applyFont="1" applyFill="1" applyBorder="1"/>
    <x:xf numFmtId="0" fontId="5" fillId="0" borderId="0" xfId="0" applyNumberFormat="1" applyFont="1" applyFill="1" applyBorder="1" applyAlignment="1">
      <x:alignment wrapText="1"/>
    </x:xf>
    <x:xf numFmtId="0" fontId="6" fillId="0" borderId="0" xfId="0" applyNumberFormat="1" applyFont="1" applyFill="1" applyBorder="1" applyAlignment="1">
      <x:alignment wrapText="1"/>
    </x:xf>
    <x:xf numFmtId="203"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3" fontId="7" fillId="0" borderId="0" xfId="0" applyNumberFormat="1" applyFont="1" applyFill="1" applyBorder="1" applyAlignment="1">
      <x:alignment wrapText="1"/>
    </x:xf>
    <x:xf numFmtId="205"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6" fillId="0" borderId="1" xfId="0" applyNumberFormat="1" applyFont="1" applyFill="1" applyBorder="1" applyAlignment="1">
      <x:alignment wrapText="1"/>
    </x:xf>
    <x:xf numFmtId="203" fontId="6" fillId="0" borderId="1" xfId="0" applyNumberFormat="1" applyFont="1" applyFill="1" applyBorder="1" applyAlignment="1">
      <x:alignment wrapText="1"/>
    </x:xf>
    <x:xf numFmtId="200" fontId="6" fillId="0" borderId="1" xfId="0" applyNumberFormat="1" applyFont="1" applyFill="1" applyBorder="1" applyAlignment="1">
      <x:alignment wrapText="1"/>
    </x:xf>
    <x:xf numFmtId="203" fontId="7" fillId="0" borderId="1" xfId="0" applyNumberFormat="1" applyFont="1" applyFill="1" applyBorder="1" applyAlignment="1">
      <x:alignment wrapText="1"/>
    </x:xf>
    <x:xf numFmtId="205" fontId="7" fillId="0" borderId="1" xfId="0" applyNumberFormat="1" applyFont="1" applyFill="1" applyBorder="1" applyAlignment="1">
      <x:alignment wrapText="1"/>
    </x:xf>
    <x:xf numFmtId="200" fontId="7" fillId="0" borderId="1" xfId="0" applyNumberFormat="1" applyFont="1" applyFill="1" applyBorder="1" applyAlignment="1">
      <x:alignment wrapText="1"/>
    </x:xf>
    <x:xf numFmtId="205" fontId="6" fillId="0" borderId="0" xfId="0" applyNumberFormat="1" applyFont="1" applyFill="1" applyBorder="1"/>
    <x:xf numFmtId="205" fontId="6" fillId="0" borderId="1" xfId="0" applyNumberFormat="1" applyFont="1" applyFill="1" applyBorder="1"/>
    <x:xf numFmtId="203" fontId="5" fillId="0" borderId="0" xfId="0" applyNumberFormat="1" applyFont="1" applyFill="1" applyBorder="1"/>
    <x:xf numFmtId="203" fontId="5"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204" fontId="5" fillId="0" borderId="0" xfId="0" applyNumberFormat="1" applyFont="1" applyFill="1" applyBorder="1"/>
    <x:xf numFmtId="204" fontId="5" fillId="0" borderId="1" xfId="0" applyNumberFormat="1" applyFont="1" applyFill="1" applyBorder="1"/>
    <x:xf numFmtId="203" fontId="5" fillId="0" borderId="0" xfId="0" applyNumberFormat="1" applyFont="1" applyFill="1" applyBorder="1" applyAlignment="1">
      <x:alignment wrapText="1"/>
    </x:xf>
    <x:xf numFmtId="200" fontId="5" fillId="0" borderId="0" xfId="0" applyNumberFormat="1" applyFont="1" applyFill="1" applyBorder="1" applyAlignment="1">
      <x:alignment wrapText="1"/>
    </x:xf>
    <x:xf numFmtId="204" fontId="5" fillId="0" borderId="0" xfId="0" applyNumberFormat="1" applyFont="1" applyFill="1" applyBorder="1" applyAlignment="1">
      <x:alignment wrapText="1"/>
    </x:xf>
    <x:xf numFmtId="203" fontId="5" fillId="0" borderId="1" xfId="0" applyNumberFormat="1" applyFont="1" applyFill="1" applyBorder="1" applyAlignment="1">
      <x:alignment wrapText="1"/>
    </x:xf>
    <x:xf numFmtId="200" fontId="5" fillId="0" borderId="1" xfId="0" applyNumberFormat="1" applyFont="1" applyFill="1" applyBorder="1" applyAlignment="1">
      <x:alignment wrapText="1"/>
    </x:xf>
    <x:xf numFmtId="204" fontId="5" fillId="0" borderId="1" xfId="0" applyNumberFormat="1" applyFont="1" applyFill="1" applyBorder="1" applyAlignment="1">
      <x:alignment wrapText="1"/>
    </x:xf>
  </x:cellXfs>
  <x:cellStyles count="1">
    <x:cellStyle name="Normal" xfId="0"/>
  </x:cellStyles>
  <x:dxfs count="1">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d5255316bb4327" /><Relationship Type="http://schemas.openxmlformats.org/officeDocument/2006/relationships/theme" Target="/xl/theme/theme1.xml" Id="R9c79945c1c104d73" /><Relationship Type="http://schemas.openxmlformats.org/officeDocument/2006/relationships/sharedStrings" Target="/xl/sharedStrings.xml" Id="R997a19c5091340ed" /><Relationship Type="http://schemas.openxmlformats.org/officeDocument/2006/relationships/worksheet" Target="/xl/worksheets/sheet1.xml" Id="R9bdf92a252d84c1f" /><Relationship Type="http://schemas.openxmlformats.org/officeDocument/2006/relationships/worksheet" Target="/xl/worksheets/sheet2.xml" Id="Rf23072b0c51a4d87" /><Relationship Type="http://schemas.openxmlformats.org/officeDocument/2006/relationships/worksheet" Target="/xl/worksheets/sheet3.xml" Id="R40b6a0ecb4784fb6" /><Relationship Type="http://schemas.openxmlformats.org/officeDocument/2006/relationships/worksheet" Target="/xl/worksheets/sheet4.xml" Id="Rc17e441538314dd9" /><Relationship Type="http://schemas.openxmlformats.org/officeDocument/2006/relationships/worksheet" Target="/xl/worksheets/sheet5.xml" Id="R82968c49b3d746d4" /><Relationship Type="http://schemas.openxmlformats.org/officeDocument/2006/relationships/worksheet" Target="/xl/worksheets/sheet6.xml" Id="Rc2a970f7ff5e4a5a" /></Relationships>
</file>

<file path=xl/drawings/_rels/drawing1.xml.rels>&#65279;<?xml version="1.0" encoding="utf-8"?><Relationships xmlns="http://schemas.openxmlformats.org/package/2006/relationships"><Relationship Type="http://schemas.openxmlformats.org/officeDocument/2006/relationships/chart" Target="/xl/drawings/charts/chart1.xml" Id="R5b12dfaef694446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Score by Deal</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Total Score</c:v>
          </c:tx>
          <c:cat>
            <c:strRef>
              <c:f>'Results'!$B$5:$B$12</c:f>
              <c:strCache>
                <c:ptCount val="1"/>
                <c:pt idx="0">
                  <c:v>Item 1</c:v>
                </c:pt>
              </c:strCache>
            </c:strRef>
          </c:cat>
          <c:val>
            <c:numRef>
              <c:f>'Results'!$T$5:$T$12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11</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b12dfaef6944464"/>
        </a:graphicData>
      </a:graphic>
    </xdr:graphicFrame>
    <xdr:clientData/>
  </xdr:twoCellAnchor>
</xdr:wsDr>
</file>

<file path=xl/tables/table1.xml><?xml version="1.0" encoding="utf-8"?>
<x:table xmlns:x="http://schemas.openxmlformats.org/spreadsheetml/2006/main" id="1" name="DealRoomTable" displayName="DealRoomTable" ref="A4:Q12" headerRowCount="1" totalsRowCount="0" totalsRowShown="0">
  <x:tableColumns count="17">
    <x:tableColumn id="1" name="Deal ID"/>
    <x:tableColumn id="2" name="Property"/>
    <x:tableColumn id="3" name="Type"/>
    <x:tableColumn id="4" name="Submarket"/>
    <x:tableColumn id="5" name="Size / Units"/>
    <x:tableColumn id="6" name="Ask Price ($mm)"/>
    <x:tableColumn id="7" name="Current NOI ($mm)"/>
    <x:tableColumn id="8" name="Going-In Cap"/>
    <x:tableColumn id="9" name="Occupancy"/>
    <x:tableColumn id="10" name="WALT (yrs)"/>
    <x:tableColumn id="11" name="In-Place Rent"/>
    <x:tableColumn id="12" name="Rent Units"/>
    <x:tableColumn id="13" name="Debt Rate"/>
    <x:tableColumn id="14" name="Amort. (yrs)"/>
    <x:tableColumn id="15" name="Max LTV"/>
    <x:tableColumn id="16" name="Primary Risk"/>
    <x:tableColumn id="17" name="Data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89f95fea6e1b497a" /></Relationships>
</file>

<file path=xl/worksheets/_rels/sheet6.xml.rels>&#65279;<?xml version="1.0" encoding="utf-8"?><Relationships xmlns="http://schemas.openxmlformats.org/package/2006/relationships"><Relationship Type="http://schemas.openxmlformats.org/officeDocument/2006/relationships/drawing" Target="/xl/drawings/drawing1.xml" Id="R0d31e66fefe44e19" /></Relationships>
</file>

<file path=xl/worksheets/sheet1.xml><?xml version="1.0" encoding="utf-8"?>
<x:worksheet xmlns:x="http://schemas.openxmlformats.org/spreadsheetml/2006/main">
  <x:sheetFormatPr defaultRowHeight="15"/>
  <x:cols>
    <x:col min="1" max="1" width="16" hidden="0" customWidth="1"/>
    <x:col min="2" max="2" width="24" hidden="0" customWidth="1"/>
    <x:col min="3" max="3" width="55" hidden="0" customWidth="1"/>
    <x:col min="4" max="4" width="16" hidden="0" customWidth="1"/>
    <x:col min="5" max="5" width="16" hidden="0" customWidth="1"/>
    <x:col min="6" max="6" width="16" hidden="0" customWidth="1"/>
    <x:col min="7" max="7" width="16" hidden="0" customWidth="1"/>
    <x:col min="8" max="8" width="16" hidden="0" customWidth="1"/>
  </x:cols>
  <x:sheetData>
    <x:row r="1" ht="20" customHeight="1">
      <x:c r="A1" s="4" t="str">
        <x:v>CRE 605 — Investment Committee Simulator | MVP</x:v>
      </x:c>
      <x:c r="B1" s="4"/>
      <x:c r="C1" s="4"/>
      <x:c r="D1" s="4"/>
      <x:c r="E1" s="4"/>
      <x:c r="F1" s="4"/>
      <x:c r="G1" s="4"/>
      <x:c r="H1" s="4"/>
    </x:row>
    <x:row r="2" ht="20" customHeight="1">
      <x:c r="A2" s="4"/>
      <x:c r="B2" s="4"/>
      <x:c r="C2" s="4"/>
      <x:c r="D2" s="4"/>
      <x:c r="E2" s="4"/>
      <x:c r="F2" s="4"/>
      <x:c r="G2" s="4"/>
      <x:c r="H2" s="4"/>
    </x:row>
    <x:row r="3" ht="20" customHeight="1"/>
    <x:row r="4" ht="20" customHeight="1">
      <x:c r="A4" s="10" t="str">
        <x:v>Purpose</x:v>
      </x:c>
      <x:c r="B4" s="10"/>
      <x:c r="C4" s="10"/>
      <x:c r="D4" s="10"/>
      <x:c r="E4" s="10"/>
      <x:c r="F4" s="10"/>
      <x:c r="G4" s="10"/>
      <x:c r="H4" s="10"/>
    </x:row>
    <x:row r="5" ht="20" customHeight="1">
      <x:c r="A5" s="14" t="str">
        <x:v>You are an investment team allocating commercial real estate capital in Orange County. Review current market conditions, underwrite a fictional deal pipeline, submit BUY/PASS decisions, choose leverage, and make a one-year NOI/value forecast. The professor then selects a market scenario and the workbook scores decision quality, forecast accuracy, and risk.</x:v>
      </x:c>
      <x:c r="B5" s="14"/>
      <x:c r="C5" s="14"/>
      <x:c r="D5" s="14"/>
      <x:c r="E5" s="14"/>
      <x:c r="F5" s="14"/>
      <x:c r="G5" s="14"/>
      <x:c r="H5" s="14"/>
    </x:row>
    <x:row r="6" ht="20" customHeight="1">
      <x:c r="A6" s="14"/>
      <x:c r="B6" s="14"/>
      <x:c r="C6" s="14"/>
      <x:c r="D6" s="14"/>
      <x:c r="E6" s="14"/>
      <x:c r="F6" s="14"/>
      <x:c r="G6" s="14"/>
      <x:c r="H6" s="14"/>
    </x:row>
    <x:row r="7" ht="20" customHeight="1">
      <x:c r="A7" s="14"/>
      <x:c r="B7" s="14"/>
      <x:c r="C7" s="14"/>
      <x:c r="D7" s="14"/>
      <x:c r="E7" s="14"/>
      <x:c r="F7" s="14"/>
      <x:c r="G7" s="14"/>
      <x:c r="H7" s="14"/>
    </x:row>
    <x:row r="8" ht="20" customHeight="1"/>
    <x:row r="9" ht="20" customHeight="1">
      <x:c r="A9" s="10" t="str">
        <x:v>How to Play</x:v>
      </x:c>
      <x:c r="B9" s="10"/>
      <x:c r="C9" s="10"/>
      <x:c r="D9" s="10"/>
      <x:c r="E9" s="10"/>
      <x:c r="F9" s="10"/>
      <x:c r="G9" s="10"/>
      <x:c r="H9" s="10"/>
    </x:row>
    <x:row r="10" ht="20" customHeight="1">
      <x:c r="A10" s="16" t="str">
        <x:v>1</x:v>
      </x:c>
      <x:c r="B10" s="14" t="str">
        <x:v>Market Inputs</x:v>
      </x:c>
      <x:c r="C10" s="14" t="str">
        <x:v>Review real Q2 2026 Orange County market anchors and current rates.</x:v>
      </x:c>
    </x:row>
    <x:row r="11" ht="20" customHeight="1">
      <x:c r="A11" s="16" t="str">
        <x:v>2</x:v>
      </x:c>
      <x:c r="B11" s="14" t="str">
        <x:v>Deal Room</x:v>
      </x:c>
      <x:c r="C11" s="14" t="str">
        <x:v>Review eight fictional but market-calibrated acquisition candidates.</x:v>
      </x:c>
    </x:row>
    <x:row r="12" ht="20" customHeight="1">
      <x:c r="A12" s="16" t="str">
        <x:v>3</x:v>
      </x:c>
      <x:c r="B12" s="14" t="str">
        <x:v>Student Decisions</x:v>
      </x:c>
      <x:c r="C12" s="14" t="str">
        <x:v>Set BUY/PASS, bid, LTV, forecast NOI growth, exit cap, confidence, and thesis.</x:v>
      </x:c>
    </x:row>
    <x:row r="13" ht="20" customHeight="1">
      <x:c r="A13" s="16" t="str">
        <x:v>4</x:v>
      </x:c>
      <x:c r="B13" s="14" t="str">
        <x:v>Professor Control</x:v>
      </x:c>
      <x:c r="C13" s="14" t="str">
        <x:v>Choose Base Case, Rate Shock, or Growth Rebound.</x:v>
      </x:c>
    </x:row>
    <x:row r="14" ht="20" customHeight="1">
      <x:c r="A14" s="16" t="str">
        <x:v>5</x:v>
      </x:c>
      <x:c r="B14" s="14" t="str">
        <x:v>Results</x:v>
      </x:c>
      <x:c r="C14" s="14" t="str">
        <x:v>Compare forecasts with realized outcomes and review the score.</x:v>
      </x:c>
    </x:row>
    <x:row r="15" ht="20" customHeight="1"/>
    <x:row r="16" ht="20" customHeight="1">
      <x:c r="A16" s="10" t="str">
        <x:v>Data Note</x:v>
      </x:c>
      <x:c r="B16" s="10"/>
      <x:c r="C16" s="10"/>
      <x:c r="D16" s="10"/>
      <x:c r="E16" s="10"/>
      <x:c r="F16" s="10"/>
      <x:c r="G16" s="10"/>
      <x:c r="H16" s="10"/>
    </x:row>
    <x:row r="17" ht="20" customHeight="1">
      <x:c r="A17" s="14" t="str">
        <x:v>Market-level inputs are anchored to public 2026 sources. Individual property names, pricing, NOI, lease structures, and outcomes are synthetic for classroom use. This makes the MVP realistic without representing invented properties as actual transactions.</x:v>
      </x:c>
      <x:c r="B17" s="14"/>
      <x:c r="C17" s="14"/>
      <x:c r="D17" s="14"/>
      <x:c r="E17" s="14"/>
      <x:c r="F17" s="14"/>
      <x:c r="G17" s="14"/>
      <x:c r="H17" s="14"/>
    </x:row>
    <x:row r="18" ht="20" customHeight="1">
      <x:c r="A18" s="14"/>
      <x:c r="B18" s="14"/>
      <x:c r="C18" s="14"/>
      <x:c r="D18" s="14"/>
      <x:c r="E18" s="14"/>
      <x:c r="F18" s="14"/>
      <x:c r="G18" s="14"/>
      <x:c r="H18" s="14"/>
    </x:row>
    <x:row r="19" ht="20" customHeight="1">
      <x:c r="A19" s="14"/>
      <x:c r="B19" s="14"/>
      <x:c r="C19" s="14"/>
      <x:c r="D19" s="14"/>
      <x:c r="E19" s="14"/>
      <x:c r="F19" s="14"/>
      <x:c r="G19" s="14"/>
      <x:c r="H19" s="14"/>
    </x:row>
    <x:row r="20" ht="20" customHeight="1">
      <x:c r="A20" s="14"/>
      <x:c r="B20" s="14"/>
      <x:c r="C20" s="14"/>
      <x:c r="D20" s="14"/>
      <x:c r="E20" s="14"/>
      <x:c r="F20" s="14"/>
      <x:c r="G20" s="14"/>
      <x:c r="H20" s="14"/>
    </x:row>
    <x:row r="21" ht="20" customHeight="1"/>
    <x:row r="22" ht="20" customHeight="1">
      <x:c r="A22" s="10" t="str">
        <x:v>605 Extension Path</x:v>
      </x:c>
      <x:c r="B22" s="10"/>
      <x:c r="C22" s="10"/>
      <x:c r="D22" s="10"/>
      <x:c r="E22" s="10"/>
      <x:c r="F22" s="10"/>
      <x:c r="G22" s="10"/>
      <x:c r="H22" s="10"/>
    </x:row>
    <x:row r="23" ht="20" customHeight="1">
      <x:c r="A23" s="14" t="str">
        <x:v>Later versions can replace the simple student forecasts with outputs from regression/AVM models, geospatial features, time-series forecasts, scenario analysis, and Monte Carlo simulation. The same core market engine can then be simplified into an Excel-focused MGSC 220 event.</x:v>
      </x:c>
      <x:c r="B23" s="14"/>
      <x:c r="C23" s="14"/>
      <x:c r="D23" s="14"/>
      <x:c r="E23" s="14"/>
      <x:c r="F23" s="14"/>
      <x:c r="G23" s="14"/>
      <x:c r="H23" s="14"/>
    </x:row>
    <x:row r="24" ht="20" customHeight="1">
      <x:c r="A24" s="14"/>
      <x:c r="B24" s="14"/>
      <x:c r="C24" s="14"/>
      <x:c r="D24" s="14"/>
      <x:c r="E24" s="14"/>
      <x:c r="F24" s="14"/>
      <x:c r="G24" s="14"/>
      <x:c r="H24" s="14"/>
    </x:row>
    <x:row r="25" ht="20" customHeight="1">
      <x:c r="A25" s="14"/>
      <x:c r="B25" s="14"/>
      <x:c r="C25" s="14"/>
      <x:c r="D25" s="14"/>
      <x:c r="E25" s="14"/>
      <x:c r="F25" s="14"/>
      <x:c r="G25" s="14"/>
      <x:c r="H25" s="14"/>
    </x:row>
    <x:row r="26" ht="20" customHeight="1">
      <x:c r="A26" s="14"/>
      <x:c r="B26" s="14"/>
      <x:c r="C26" s="14"/>
      <x:c r="D26" s="14"/>
      <x:c r="E26" s="14"/>
      <x:c r="F26" s="14"/>
      <x:c r="G26" s="14"/>
      <x:c r="H26" s="14"/>
    </x:row>
    <x:row r="27" ht="20" customHeight="1">
      <x:c r="A27" s="14"/>
      <x:c r="B27" s="14"/>
      <x:c r="C27" s="14"/>
      <x:c r="D27" s="14"/>
      <x:c r="E27" s="14"/>
      <x:c r="F27" s="14"/>
      <x:c r="G27" s="14"/>
      <x:c r="H27" s="14"/>
    </x:row>
    <x:row r="28" ht="20" customHeight="1"/>
    <x:row r="29" ht="20" customHeight="1"/>
    <x:row r="30" ht="20" customHeight="1"/>
  </x:sheetData>
  <x:mergeCells>
    <x:mergeCell ref="A1:H2"/>
    <x:mergeCell ref="A4:H4"/>
    <x:mergeCell ref="A5:H7"/>
    <x:mergeCell ref="A9:H9"/>
    <x:mergeCell ref="A16:H16"/>
    <x:mergeCell ref="A17:H20"/>
    <x:mergeCell ref="A22:H22"/>
    <x:mergeCell ref="A23:H27"/>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4" hidden="0" customWidth="1"/>
    <x:col min="3" max="3" width="14" hidden="0" customWidth="1"/>
    <x:col min="4" max="4" width="20" hidden="0" customWidth="1"/>
    <x:col min="5" max="5" width="30" hidden="0" customWidth="1"/>
    <x:col min="6" max="6" width="20" hidden="0" customWidth="1"/>
    <x:col min="7" max="7" width="62" hidden="0" customWidth="1"/>
  </x:cols>
  <x:sheetData>
    <x:row r="1">
      <x:c r="A1" s="4" t="str">
        <x:v>Real Market Anchors — Orange County / U.S. Rates</x:v>
      </x:c>
      <x:c r="B1" s="4"/>
      <x:c r="C1" s="4"/>
      <x:c r="D1" s="4"/>
      <x:c r="E1" s="4"/>
      <x:c r="F1" s="4"/>
      <x:c r="G1" s="4"/>
    </x:row>
    <x:row r="2">
      <x:c r="A2" s="4"/>
      <x:c r="B2" s="4"/>
      <x:c r="C2" s="4"/>
      <x:c r="D2" s="4"/>
      <x:c r="E2" s="4"/>
      <x:c r="F2" s="4"/>
      <x:c r="G2" s="4"/>
    </x:row>
    <x:row r="4">
      <x:c r="A4" s="22" t="str">
        <x:v>Market / Metric</x:v>
      </x:c>
      <x:c r="B4" s="22" t="str">
        <x:v>As of</x:v>
      </x:c>
      <x:c r="C4" s="22" t="str">
        <x:v>Value</x:v>
      </x:c>
      <x:c r="D4" s="22" t="str">
        <x:v>Units</x:v>
      </x:c>
      <x:c r="E4" s="22" t="str">
        <x:v>Use in MVP</x:v>
      </x:c>
      <x:c r="F4" s="22" t="str">
        <x:v>Source</x:v>
      </x:c>
      <x:c r="G4" s="22" t="str">
        <x:v>Source URL</x:v>
      </x:c>
    </x:row>
    <x:row r="5">
      <x:c r="A5" s="14" t="str">
        <x:v>Orange County Office Vacancy</x:v>
      </x:c>
      <x:c r="B5" s="14" t="str">
        <x:v>Q2 2026</x:v>
      </x:c>
      <x:c r="C5" s="34" t="n">
        <x:v>0.133</x:v>
      </x:c>
      <x:c r="D5" s="14" t="str">
        <x:v>%</x:v>
      </x:c>
      <x:c r="E5" s="14" t="str">
        <x:v>Office risk / vacancy anchor</x:v>
      </x:c>
      <x:c r="F5" s="14" t="str">
        <x:v>CBRE</x:v>
      </x:c>
      <x:c r="G5" s="14" t="str">
        <x:v>https://www.cbre.com/insights/figures/orange-county-office-figures-q2-2026</x:v>
      </x:c>
    </x:row>
    <x:row r="6">
      <x:c r="A6" s="14" t="str">
        <x:v>Orange County Office Asking Rent</x:v>
      </x:c>
      <x:c r="B6" s="14" t="str">
        <x:v>Q2 2026</x:v>
      </x:c>
      <x:c r="C6" s="35" t="n">
        <x:v>2.89</x:v>
      </x:c>
      <x:c r="D6" s="14" t="str">
        <x:v>$/SF/month FSG</x:v>
      </x:c>
      <x:c r="E6" s="14" t="str">
        <x:v>Office rent anchor</x:v>
      </x:c>
      <x:c r="F6" s="14" t="str">
        <x:v>CBRE</x:v>
      </x:c>
      <x:c r="G6" s="14" t="str">
        <x:v>https://www.cbre.com/insights/figures/orange-county-office-figures-q2-2026</x:v>
      </x:c>
    </x:row>
    <x:row r="7">
      <x:c r="A7" s="14" t="str">
        <x:v>Orange County Industrial Vacancy</x:v>
      </x:c>
      <x:c r="B7" s="14" t="str">
        <x:v>Q2 2026</x:v>
      </x:c>
      <x:c r="C7" s="34" t="n">
        <x:v>0.055</x:v>
      </x:c>
      <x:c r="D7" s="14" t="str">
        <x:v>%</x:v>
      </x:c>
      <x:c r="E7" s="14" t="str">
        <x:v>Industrial vacancy anchor</x:v>
      </x:c>
      <x:c r="F7" s="14" t="str">
        <x:v>CBRE</x:v>
      </x:c>
      <x:c r="G7" s="14" t="str">
        <x:v>https://www.cbre.com/insights/figures/orange-county-industrial-figures-q2-2026</x:v>
      </x:c>
    </x:row>
    <x:row r="8">
      <x:c r="A8" s="14" t="str">
        <x:v>Orange County Industrial Asking Rent</x:v>
      </x:c>
      <x:c r="B8" s="14" t="str">
        <x:v>Q2 2026</x:v>
      </x:c>
      <x:c r="C8" s="35" t="n">
        <x:v>1.49</x:v>
      </x:c>
      <x:c r="D8" s="14" t="str">
        <x:v>$/SF/month NNN</x:v>
      </x:c>
      <x:c r="E8" s="14" t="str">
        <x:v>Industrial rent anchor</x:v>
      </x:c>
      <x:c r="F8" s="14" t="str">
        <x:v>CBRE</x:v>
      </x:c>
      <x:c r="G8" s="14" t="str">
        <x:v>https://www.cbre.com/insights/figures/orange-county-industrial-figures-q2-2026</x:v>
      </x:c>
    </x:row>
    <x:row r="9">
      <x:c r="A9" s="14" t="str">
        <x:v>Orange County Multifamily Occupancy</x:v>
      </x:c>
      <x:c r="B9" s="14" t="str">
        <x:v>Q2 2026</x:v>
      </x:c>
      <x:c r="C9" s="34" t="n">
        <x:v>0.964</x:v>
      </x:c>
      <x:c r="D9" s="14" t="str">
        <x:v>%</x:v>
      </x:c>
      <x:c r="E9" s="14" t="str">
        <x:v>Multifamily occupancy anchor</x:v>
      </x:c>
      <x:c r="F9" s="14" t="str">
        <x:v>CBRE</x:v>
      </x:c>
      <x:c r="G9" s="14" t="str">
        <x:v>https://www.cbre.com/insights/figures/orange-county-multifamily-figures-q2-2026</x:v>
      </x:c>
    </x:row>
    <x:row r="10">
      <x:c r="A10" s="14" t="str">
        <x:v>Orange County Multifamily Avg Rent</x:v>
      </x:c>
      <x:c r="B10" s="14" t="str">
        <x:v>Q2 2026</x:v>
      </x:c>
      <x:c r="C10" s="36" t="n">
        <x:v>2944</x:v>
      </x:c>
      <x:c r="D10" s="14" t="str">
        <x:v>$/unit/month</x:v>
      </x:c>
      <x:c r="E10" s="14" t="str">
        <x:v>Multifamily rent anchor</x:v>
      </x:c>
      <x:c r="F10" s="14" t="str">
        <x:v>CBRE</x:v>
      </x:c>
      <x:c r="G10" s="14" t="str">
        <x:v>https://www.cbre.com/insights/figures/orange-county-multifamily-figures-q2-2026</x:v>
      </x:c>
    </x:row>
    <x:row r="11">
      <x:c r="A11" s="14" t="str">
        <x:v>U.S. 10-Year Treasury</x:v>
      </x:c>
      <x:c r="B11" s="14" t="str">
        <x:v>2026-09-08</x:v>
      </x:c>
      <x:c r="C11" s="34" t="n">
        <x:v>0.048</x:v>
      </x:c>
      <x:c r="D11" s="14" t="str">
        <x:v>%</x:v>
      </x:c>
      <x:c r="E11" s="14" t="str">
        <x:v>Debt / cap-rate environment</x:v>
      </x:c>
      <x:c r="F11" s="14" t="str">
        <x:v>FRED / Federal Reserve H.15</x:v>
      </x:c>
      <x:c r="G11" s="14" t="str">
        <x:v>https://fred.stlouisfed.org/release/tables?eid=289&amp;rid=18</x:v>
      </x:c>
    </x:row>
  </x:sheetData>
  <x:mergeCells>
    <x:mergeCell ref="A1:G2"/>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5" hidden="0" customWidth="1"/>
    <x:col min="3" max="3" width="14" hidden="0" customWidth="1"/>
    <x:col min="4" max="4" width="17" hidden="0" customWidth="1"/>
    <x:col min="5" max="5" width="14" hidden="0" customWidth="1"/>
    <x:col min="6" max="6" width="15" hidden="0" customWidth="1"/>
    <x:col min="7" max="7" width="15" hidden="0" customWidth="1"/>
    <x:col min="8" max="8" width="12" hidden="0" customWidth="1"/>
    <x:col min="9" max="9" width="12" hidden="0" customWidth="1"/>
    <x:col min="10" max="10" width="11" hidden="0" customWidth="1"/>
    <x:col min="11" max="11" width="13" hidden="0" customWidth="1"/>
    <x:col min="12" max="12" width="16" hidden="0" customWidth="1"/>
    <x:col min="13" max="13" width="12" hidden="0" customWidth="1"/>
    <x:col min="14" max="14" width="11" hidden="0" customWidth="1"/>
    <x:col min="15" max="15" width="11" hidden="0" customWidth="1"/>
    <x:col min="16" max="16" width="28" hidden="0" customWidth="1"/>
    <x:col min="17" max="17" width="28" hidden="0" customWidth="1"/>
  </x:cols>
  <x:sheetData>
    <x:row r="1">
      <x:c r="A1" s="4" t="str">
        <x:v>Deal Room — Fictional Properties Calibrated to Current OC Market Conditions</x:v>
      </x:c>
      <x:c r="B1" s="4"/>
      <x:c r="C1" s="4"/>
      <x:c r="D1" s="4"/>
      <x:c r="E1" s="4"/>
      <x:c r="F1" s="4"/>
      <x:c r="G1" s="4"/>
      <x:c r="H1" s="4"/>
      <x:c r="I1" s="4"/>
      <x:c r="J1" s="4"/>
      <x:c r="K1" s="4"/>
      <x:c r="L1" s="4"/>
      <x:c r="M1" s="4"/>
      <x:c r="N1" s="4"/>
      <x:c r="O1" s="4"/>
      <x:c r="P1" s="4"/>
      <x:c r="Q1" s="4"/>
    </x:row>
    <x:row r="2">
      <x:c r="A2" s="4"/>
      <x:c r="B2" s="4"/>
      <x:c r="C2" s="4"/>
      <x:c r="D2" s="4"/>
      <x:c r="E2" s="4"/>
      <x:c r="F2" s="4"/>
      <x:c r="G2" s="4"/>
      <x:c r="H2" s="4"/>
      <x:c r="I2" s="4"/>
      <x:c r="J2" s="4"/>
      <x:c r="K2" s="4"/>
      <x:c r="L2" s="4"/>
      <x:c r="M2" s="4"/>
      <x:c r="N2" s="4"/>
      <x:c r="O2" s="4"/>
      <x:c r="P2" s="4"/>
      <x:c r="Q2" s="4"/>
    </x:row>
    <x:row r="4">
      <x:c r="A4" s="22" t="str">
        <x:v>Deal ID</x:v>
      </x:c>
      <x:c r="B4" s="22" t="str">
        <x:v>Property</x:v>
      </x:c>
      <x:c r="C4" s="22" t="str">
        <x:v>Type</x:v>
      </x:c>
      <x:c r="D4" s="22" t="str">
        <x:v>Submarket</x:v>
      </x:c>
      <x:c r="E4" s="22" t="str">
        <x:v>Size / Units</x:v>
      </x:c>
      <x:c r="F4" s="22" t="str">
        <x:v>Ask Price ($mm)</x:v>
      </x:c>
      <x:c r="G4" s="22" t="str">
        <x:v>Current NOI ($mm)</x:v>
      </x:c>
      <x:c r="H4" s="22" t="str">
        <x:v>Going-In Cap</x:v>
      </x:c>
      <x:c r="I4" s="22" t="str">
        <x:v>Occupancy</x:v>
      </x:c>
      <x:c r="J4" s="22" t="str">
        <x:v>WALT (yrs)</x:v>
      </x:c>
      <x:c r="K4" s="22" t="str">
        <x:v>In-Place Rent</x:v>
      </x:c>
      <x:c r="L4" s="22" t="str">
        <x:v>Rent Units</x:v>
      </x:c>
      <x:c r="M4" s="22" t="str">
        <x:v>Debt Rate</x:v>
      </x:c>
      <x:c r="N4" s="22" t="str">
        <x:v>Amort. (yrs)</x:v>
      </x:c>
      <x:c r="O4" s="22" t="str">
        <x:v>Max LTV</x:v>
      </x:c>
      <x:c r="P4" s="22" t="str">
        <x:v>Primary Risk</x:v>
      </x:c>
      <x:c r="Q4" s="22" t="str">
        <x:v>Data Status</x:v>
      </x:c>
    </x:row>
    <x:row r="5">
      <x:c r="A5" s="14" t="str">
        <x:v>OC-IND-01</x:v>
      </x:c>
      <x:c r="B5" s="14" t="str">
        <x:v>Anaheim Commerce Center</x:v>
      </x:c>
      <x:c r="C5" s="14" t="str">
        <x:v>Industrial</x:v>
      </x:c>
      <x:c r="D5" s="14" t="str">
        <x:v>Anaheim</x:v>
      </x:c>
      <x:c r="E5" s="14" t="n">
        <x:v>185000</x:v>
      </x:c>
      <x:c r="F5" s="44" t="n">
        <x:v>52</x:v>
      </x:c>
      <x:c r="G5" s="44" t="n">
        <x:v>3.016</x:v>
      </x:c>
      <x:c r="H5" s="34" t="n">
        <x:v>0.058</x:v>
      </x:c>
      <x:c r="I5" s="34" t="n">
        <x:v>0.97</x:v>
      </x:c>
      <x:c r="J5" s="45" t="n">
        <x:v>4.8</x:v>
      </x:c>
      <x:c r="K5" s="14" t="n">
        <x:v>1.55</x:v>
      </x:c>
      <x:c r="L5" s="14" t="str">
        <x:v>$/SF/mo NNN</x:v>
      </x:c>
      <x:c r="M5" s="34" t="n">
        <x:v>0.0635</x:v>
      </x:c>
      <x:c r="N5" s="14" t="n">
        <x:v>25</x:v>
      </x:c>
      <x:c r="O5" s="34" t="n">
        <x:v>0.7</x:v>
      </x:c>
      <x:c r="P5" s="14" t="str">
        <x:v>Rising vacancy / near-term rent pressure</x:v>
      </x:c>
      <x:c r="Q5" s="14" t="str">
        <x:v>Synthetic property; real market anchors</x:v>
      </x:c>
    </x:row>
    <x:row r="6">
      <x:c r="A6" s="14" t="str">
        <x:v>OC-IND-02</x:v>
      </x:c>
      <x:c r="B6" s="14" t="str">
        <x:v>Irvine Spectrum Logistics</x:v>
      </x:c>
      <x:c r="C6" s="14" t="str">
        <x:v>Industrial</x:v>
      </x:c>
      <x:c r="D6" s="14" t="str">
        <x:v>Irvine</x:v>
      </x:c>
      <x:c r="E6" s="14" t="n">
        <x:v>140000</x:v>
      </x:c>
      <x:c r="F6" s="44" t="n">
        <x:v>46</x:v>
      </x:c>
      <x:c r="G6" s="44" t="n">
        <x:v>2.392</x:v>
      </x:c>
      <x:c r="H6" s="34" t="n">
        <x:v>0.052</x:v>
      </x:c>
      <x:c r="I6" s="34" t="n">
        <x:v>1</x:v>
      </x:c>
      <x:c r="J6" s="45" t="n">
        <x:v>7.1</x:v>
      </x:c>
      <x:c r="K6" s="14" t="n">
        <x:v>1.72</x:v>
      </x:c>
      <x:c r="L6" s="14" t="str">
        <x:v>$/SF/mo NNN</x:v>
      </x:c>
      <x:c r="M6" s="34" t="n">
        <x:v>0.0615</x:v>
      </x:c>
      <x:c r="N6" s="14" t="n">
        <x:v>25</x:v>
      </x:c>
      <x:c r="O6" s="34" t="n">
        <x:v>0.7</x:v>
      </x:c>
      <x:c r="P6" s="14" t="str">
        <x:v>Tight pricing / limited upside</x:v>
      </x:c>
      <x:c r="Q6" s="14" t="str">
        <x:v>Synthetic property; real market anchors</x:v>
      </x:c>
    </x:row>
    <x:row r="7">
      <x:c r="A7" s="14" t="str">
        <x:v>OC-OFF-01</x:v>
      </x:c>
      <x:c r="B7" s="14" t="str">
        <x:v>Jamboree Office Plaza</x:v>
      </x:c>
      <x:c r="C7" s="14" t="str">
        <x:v>Office</x:v>
      </x:c>
      <x:c r="D7" s="14" t="str">
        <x:v>Irvine</x:v>
      </x:c>
      <x:c r="E7" s="14" t="n">
        <x:v>210000</x:v>
      </x:c>
      <x:c r="F7" s="44" t="n">
        <x:v>49</x:v>
      </x:c>
      <x:c r="G7" s="44" t="n">
        <x:v>3.43</x:v>
      </x:c>
      <x:c r="H7" s="34" t="n">
        <x:v>0.07</x:v>
      </x:c>
      <x:c r="I7" s="34" t="n">
        <x:v>0.82</x:v>
      </x:c>
      <x:c r="J7" s="45" t="n">
        <x:v>3.2</x:v>
      </x:c>
      <x:c r="K7" s="14" t="n">
        <x:v>3.15</x:v>
      </x:c>
      <x:c r="L7" s="14" t="str">
        <x:v>$/SF/mo FSG</x:v>
      </x:c>
      <x:c r="M7" s="34" t="n">
        <x:v>0.0675</x:v>
      </x:c>
      <x:c r="N7" s="14" t="n">
        <x:v>25</x:v>
      </x:c>
      <x:c r="O7" s="34" t="n">
        <x:v>0.6</x:v>
      </x:c>
      <x:c r="P7" s="14" t="str">
        <x:v>Lease-up and rollover exposure</x:v>
      </x:c>
      <x:c r="Q7" s="14" t="str">
        <x:v>Synthetic property; real market anchors</x:v>
      </x:c>
    </x:row>
    <x:row r="8">
      <x:c r="A8" s="14" t="str">
        <x:v>OC-OFF-02</x:v>
      </x:c>
      <x:c r="B8" s="14" t="str">
        <x:v>Newport Gateway Offices</x:v>
      </x:c>
      <x:c r="C8" s="14" t="str">
        <x:v>Office</x:v>
      </x:c>
      <x:c r="D8" s="14" t="str">
        <x:v>Newport Beach</x:v>
      </x:c>
      <x:c r="E8" s="14" t="n">
        <x:v>165000</x:v>
      </x:c>
      <x:c r="F8" s="44" t="n">
        <x:v>61</x:v>
      </x:c>
      <x:c r="G8" s="44" t="n">
        <x:v>4.026</x:v>
      </x:c>
      <x:c r="H8" s="34" t="n">
        <x:v>0.066</x:v>
      </x:c>
      <x:c r="I8" s="34" t="n">
        <x:v>0.91</x:v>
      </x:c>
      <x:c r="J8" s="45" t="n">
        <x:v>5.6</x:v>
      </x:c>
      <x:c r="K8" s="14" t="n">
        <x:v>3.75</x:v>
      </x:c>
      <x:c r="L8" s="14" t="str">
        <x:v>$/SF/mo FSG</x:v>
      </x:c>
      <x:c r="M8" s="34" t="n">
        <x:v>0.065</x:v>
      </x:c>
      <x:c r="N8" s="14" t="n">
        <x:v>25</x:v>
      </x:c>
      <x:c r="O8" s="34" t="n">
        <x:v>0.6</x:v>
      </x:c>
      <x:c r="P8" s="14" t="str">
        <x:v>Higher basis / refinance risk</x:v>
      </x:c>
      <x:c r="Q8" s="14" t="str">
        <x:v>Synthetic property; real market anchors</x:v>
      </x:c>
    </x:row>
    <x:row r="9">
      <x:c r="A9" s="14" t="str">
        <x:v>OC-MF-01</x:v>
      </x:c>
      <x:c r="B9" s="14" t="str">
        <x:v>Orange Grove Apartments</x:v>
      </x:c>
      <x:c r="C9" s="14" t="str">
        <x:v>Multifamily</x:v>
      </x:c>
      <x:c r="D9" s="14" t="str">
        <x:v>Orange</x:v>
      </x:c>
      <x:c r="E9" s="14" t="n">
        <x:v>180</x:v>
      </x:c>
      <x:c r="F9" s="44" t="n">
        <x:v>71</x:v>
      </x:c>
      <x:c r="G9" s="44" t="n">
        <x:v>3.55</x:v>
      </x:c>
      <x:c r="H9" s="34" t="n">
        <x:v>0.05</x:v>
      </x:c>
      <x:c r="I9" s="34" t="n">
        <x:v>0.965</x:v>
      </x:c>
      <x:c r="J9" s="45" t="n">
        <x:v>1</x:v>
      </x:c>
      <x:c r="K9" s="14" t="n">
        <x:v>2850</x:v>
      </x:c>
      <x:c r="L9" s="14" t="str">
        <x:v>$/unit/mo</x:v>
      </x:c>
      <x:c r="M9" s="34" t="n">
        <x:v>0.06</x:v>
      </x:c>
      <x:c r="N9" s="14" t="n">
        <x:v>30</x:v>
      </x:c>
      <x:c r="O9" s="34" t="n">
        <x:v>0.7</x:v>
      </x:c>
      <x:c r="P9" s="14" t="str">
        <x:v>Supply delivery / expense growth</x:v>
      </x:c>
      <x:c r="Q9" s="14" t="str">
        <x:v>Synthetic property; real market anchors</x:v>
      </x:c>
    </x:row>
    <x:row r="10">
      <x:c r="A10" s="14" t="str">
        <x:v>OC-MF-02</x:v>
      </x:c>
      <x:c r="B10" s="14" t="str">
        <x:v>Santa Ana Urban Flats</x:v>
      </x:c>
      <x:c r="C10" s="14" t="str">
        <x:v>Multifamily</x:v>
      </x:c>
      <x:c r="D10" s="14" t="str">
        <x:v>Santa Ana</x:v>
      </x:c>
      <x:c r="E10" s="14" t="n">
        <x:v>240</x:v>
      </x:c>
      <x:c r="F10" s="44" t="n">
        <x:v>84</x:v>
      </x:c>
      <x:c r="G10" s="44" t="n">
        <x:v>4.62</x:v>
      </x:c>
      <x:c r="H10" s="34" t="n">
        <x:v>0.055</x:v>
      </x:c>
      <x:c r="I10" s="34" t="n">
        <x:v>0.948</x:v>
      </x:c>
      <x:c r="J10" s="45" t="n">
        <x:v>1</x:v>
      </x:c>
      <x:c r="K10" s="14" t="n">
        <x:v>2680</x:v>
      </x:c>
      <x:c r="L10" s="14" t="str">
        <x:v>$/unit/mo</x:v>
      </x:c>
      <x:c r="M10" s="34" t="n">
        <x:v>0.061</x:v>
      </x:c>
      <x:c r="N10" s="14" t="n">
        <x:v>30</x:v>
      </x:c>
      <x:c r="O10" s="34" t="n">
        <x:v>0.7</x:v>
      </x:c>
      <x:c r="P10" s="14" t="str">
        <x:v>Operational turnaround execution</x:v>
      </x:c>
      <x:c r="Q10" s="14" t="str">
        <x:v>Synthetic property; real market anchors</x:v>
      </x:c>
    </x:row>
    <x:row r="11">
      <x:c r="A11" s="14" t="str">
        <x:v>OC-RTL-01</x:v>
      </x:c>
      <x:c r="B11" s="14" t="str">
        <x:v>Costa Mesa Retail Row</x:v>
      </x:c>
      <x:c r="C11" s="14" t="str">
        <x:v>Retail</x:v>
      </x:c>
      <x:c r="D11" s="14" t="str">
        <x:v>Costa Mesa</x:v>
      </x:c>
      <x:c r="E11" s="14" t="n">
        <x:v>92000</x:v>
      </x:c>
      <x:c r="F11" s="44" t="n">
        <x:v>38</x:v>
      </x:c>
      <x:c r="G11" s="44" t="n">
        <x:v>2.394</x:v>
      </x:c>
      <x:c r="H11" s="34" t="n">
        <x:v>0.063</x:v>
      </x:c>
      <x:c r="I11" s="34" t="n">
        <x:v>0.95</x:v>
      </x:c>
      <x:c r="J11" s="45" t="n">
        <x:v>4.1</x:v>
      </x:c>
      <x:c r="K11" s="14" t="n">
        <x:v>3.05</x:v>
      </x:c>
      <x:c r="L11" s="14" t="str">
        <x:v>$/SF/mo NNN</x:v>
      </x:c>
      <x:c r="M11" s="34" t="n">
        <x:v>0.066</x:v>
      </x:c>
      <x:c r="N11" s="14" t="n">
        <x:v>25</x:v>
      </x:c>
      <x:c r="O11" s="34" t="n">
        <x:v>0.65</x:v>
      </x:c>
      <x:c r="P11" s="14" t="str">
        <x:v>Tenant concentration</x:v>
      </x:c>
      <x:c r="Q11" s="14" t="str">
        <x:v>Synthetic property; real market anchors</x:v>
      </x:c>
    </x:row>
    <x:row r="12">
      <x:c r="A12" s="14" t="str">
        <x:v>OC-RTL-02</x:v>
      </x:c>
      <x:c r="B12" s="14" t="str">
        <x:v>Fullerton Marketplace</x:v>
      </x:c>
      <x:c r="C12" s="14" t="str">
        <x:v>Retail</x:v>
      </x:c>
      <x:c r="D12" s="14" t="str">
        <x:v>Fullerton</x:v>
      </x:c>
      <x:c r="E12" s="14" t="n">
        <x:v>128000</x:v>
      </x:c>
      <x:c r="F12" s="44" t="n">
        <x:v>44</x:v>
      </x:c>
      <x:c r="G12" s="44" t="n">
        <x:v>2.904</x:v>
      </x:c>
      <x:c r="H12" s="34" t="n">
        <x:v>0.066</x:v>
      </x:c>
      <x:c r="I12" s="34" t="n">
        <x:v>0.93</x:v>
      </x:c>
      <x:c r="J12" s="45" t="n">
        <x:v>5</x:v>
      </x:c>
      <x:c r="K12" s="14" t="n">
        <x:v>2.65</x:v>
      </x:c>
      <x:c r="L12" s="14" t="str">
        <x:v>$/SF/mo NNN</x:v>
      </x:c>
      <x:c r="M12" s="34" t="n">
        <x:v>0.0655</x:v>
      </x:c>
      <x:c r="N12" s="14" t="n">
        <x:v>25</x:v>
      </x:c>
      <x:c r="O12" s="34" t="n">
        <x:v>0.65</x:v>
      </x:c>
      <x:c r="P12" s="14" t="str">
        <x:v>Consumer slowdown / rollover</x:v>
      </x:c>
      <x:c r="Q12" s="14" t="str">
        <x:v>Synthetic property; real market anchors</x:v>
      </x:c>
    </x:row>
  </x:sheetData>
  <x:mergeCells>
    <x:mergeCell ref="A1:Q2"/>
  </x:mergeCells>
  <x:pageMargins left="0.7" right="0.7" top="0.75" bottom="0.75" header="0.3" footer="0.3"/>
  <x:tableParts count="1">
    <x:tablePart xmlns:r="http://schemas.openxmlformats.org/officeDocument/2006/relationships" r:id="R89f95fea6e1b497a"/>
  </x:tableParts>
</x:worksheet>
</file>

<file path=xl/worksheets/sheet4.xml><?xml version="1.0" encoding="utf-8"?>
<x:worksheet xmlns:x="http://schemas.openxmlformats.org/spreadsheetml/2006/main">
  <x:sheetFormatPr defaultRowHeight="15"/>
  <x:cols>
    <x:col min="1" max="1" width="12" hidden="0" customWidth="1"/>
    <x:col min="2" max="2" width="25" hidden="0" customWidth="1"/>
    <x:col min="3" max="3" width="11" hidden="0" customWidth="1"/>
    <x:col min="4" max="4" width="12" hidden="0" customWidth="1"/>
    <x:col min="5" max="5" width="10" hidden="0" customWidth="1"/>
    <x:col min="6" max="6" width="16" hidden="0" customWidth="1"/>
    <x:col min="7" max="7" width="15" hidden="0" customWidth="1"/>
    <x:col min="8" max="8" width="12" hidden="0" customWidth="1"/>
    <x:col min="9" max="9" width="16" hidden="0" customWidth="1"/>
    <x:col min="10" max="10" width="12" hidden="0" customWidth="1"/>
    <x:col min="11" max="11" width="18" hidden="0" customWidth="1"/>
    <x:col min="12" max="12" width="12" hidden="0" customWidth="1"/>
    <x:col min="13" max="13" width="17" hidden="0" customWidth="1"/>
    <x:col min="14" max="14" width="18" hidden="0" customWidth="1"/>
    <x:col min="15" max="15" width="19" hidden="0" customWidth="1"/>
    <x:col min="16" max="16" width="17" hidden="0" customWidth="1"/>
    <x:col min="17" max="17" width="18" hidden="0" customWidth="1"/>
    <x:col min="18" max="18" width="34" hidden="0" customWidth="1"/>
  </x:cols>
  <x:sheetData>
    <x:row r="1">
      <x:c r="A1" s="4" t="str">
        <x:v>Student Decision Sheet — Blue Cells Are Inputs</x:v>
      </x:c>
      <x:c r="B1" s="4"/>
      <x:c r="C1" s="4"/>
      <x:c r="D1" s="4"/>
      <x:c r="E1" s="4"/>
      <x:c r="F1" s="4"/>
      <x:c r="G1" s="4"/>
      <x:c r="H1" s="4"/>
      <x:c r="I1" s="4"/>
      <x:c r="J1" s="4"/>
      <x:c r="K1" s="4"/>
      <x:c r="L1" s="4"/>
      <x:c r="M1" s="4"/>
      <x:c r="N1" s="4"/>
      <x:c r="O1" s="4"/>
      <x:c r="P1" s="4"/>
      <x:c r="Q1" s="4"/>
      <x:c r="R1" s="4"/>
    </x:row>
    <x:row r="2">
      <x:c r="A2" s="4"/>
      <x:c r="B2" s="4"/>
      <x:c r="C2" s="4"/>
      <x:c r="D2" s="4"/>
      <x:c r="E2" s="4"/>
      <x:c r="F2" s="4"/>
      <x:c r="G2" s="4"/>
      <x:c r="H2" s="4"/>
      <x:c r="I2" s="4"/>
      <x:c r="J2" s="4"/>
      <x:c r="K2" s="4"/>
      <x:c r="L2" s="4"/>
      <x:c r="M2" s="4"/>
      <x:c r="N2" s="4"/>
      <x:c r="O2" s="4"/>
      <x:c r="P2" s="4"/>
      <x:c r="Q2" s="4"/>
      <x:c r="R2" s="4"/>
    </x:row>
    <x:row r="4">
      <x:c r="A4" s="22" t="str">
        <x:v>Deal ID</x:v>
      </x:c>
      <x:c r="B4" s="22" t="str">
        <x:v>Property</x:v>
      </x:c>
      <x:c r="C4" s="22" t="str">
        <x:v>Decision</x:v>
      </x:c>
      <x:c r="D4" s="22" t="str">
        <x:v>Bid ($mm)</x:v>
      </x:c>
      <x:c r="E4" s="22" t="str">
        <x:v>LTV</x:v>
      </x:c>
      <x:c r="F4" s="22" t="str">
        <x:v>NOI Growth Forecast</x:v>
      </x:c>
      <x:c r="G4" s="22" t="str">
        <x:v>Exit Cap Forecast</x:v>
      </x:c>
      <x:c r="H4" s="22" t="str">
        <x:v>Confidence</x:v>
      </x:c>
      <x:c r="I4" s="22" t="str">
        <x:v>Equity Required ($mm)</x:v>
      </x:c>
      <x:c r="J4" s="22" t="str">
        <x:v>Debt ($mm)</x:v>
      </x:c>
      <x:c r="K4" s="22" t="str">
        <x:v>Annual Debt Service ($mm)</x:v>
      </x:c>
      <x:c r="L4" s="22" t="str">
        <x:v>Current DSCR</x:v>
      </x:c>
      <x:c r="M4" s="22" t="str">
        <x:v>Predicted Yr1 NOI ($mm)</x:v>
      </x:c>
      <x:c r="N4" s="22" t="str">
        <x:v>Predicted Yr1 Value ($mm)</x:v>
      </x:c>
      <x:c r="O4" s="22" t="str">
        <x:v>Predicted Equity Value ($mm)</x:v>
      </x:c>
      <x:c r="P4" s="22" t="str">
        <x:v>Predicted Cash Flow ($mm)</x:v>
      </x:c>
      <x:c r="Q4" s="22" t="str">
        <x:v>Predicted 1Y Equity Return</x:v>
      </x:c>
      <x:c r="R4" s="22" t="str">
        <x:v>Notes / Thesis</x:v>
      </x:c>
    </x:row>
    <x:row r="5">
      <x:c r="A5" s="64" t="str">
        <x:f>'Deal Room'!A5</x:f>
        <x:v>OC-IND-01</x:v>
      </x:c>
      <x:c r="B5" s="64" t="str">
        <x:f>'Deal Room'!B5</x:f>
        <x:v>Anaheim Commerce Center</x:v>
      </x:c>
      <x:c r="C5" s="65" t="str">
        <x:v>PASS</x:v>
      </x:c>
      <x:c r="D5" s="66" t="n">
        <x:v>52</x:v>
      </x:c>
      <x:c r="E5" s="67" t="n">
        <x:v>0.6</x:v>
      </x:c>
      <x:c r="F5" s="67" t="n">
        <x:v>0.02</x:v>
      </x:c>
      <x:c r="G5" s="67" t="n">
        <x:v>0.058</x:v>
      </x:c>
      <x:c r="H5" s="67" t="n">
        <x:v>0.6</x:v>
      </x:c>
      <x:c r="I5" s="68" t="n">
        <x:f>IF(C5="BUY",D5*(1-E5),0)</x:f>
        <x:v>0</x:v>
      </x:c>
      <x:c r="J5" s="68" t="n">
        <x:f>IF(C5="BUY",D5*E5,0)</x:f>
        <x:v>0</x:v>
      </x:c>
      <x:c r="K5" s="68" t="n">
        <x:f>IF(C5="BUY",-PMT('Deal Room'!M5/12,'Deal Room'!N5*12,J5*1000000)*12/1000000,0)</x:f>
        <x:v>0</x:v>
      </x:c>
      <x:c r="L5" s="69" t="n">
        <x:f>IF(C5="BUY",'Deal Room'!G5/K5,0)</x:f>
        <x:v>0</x:v>
      </x:c>
      <x:c r="M5" s="68" t="n">
        <x:f>'Deal Room'!G5*(1+F5)</x:f>
        <x:v>3.07632</x:v>
      </x:c>
      <x:c r="N5" s="68" t="n">
        <x:f>M5/G5</x:f>
        <x:v>53.04</x:v>
      </x:c>
      <x:c r="O5" s="68" t="n">
        <x:f>IF(C5="BUY",N5-J5,0)</x:f>
        <x:v>0</x:v>
      </x:c>
      <x:c r="P5" s="68" t="n">
        <x:f>IF(C5="BUY",M5-K5,0)</x:f>
        <x:v>0</x:v>
      </x:c>
      <x:c r="Q5" s="70" t="n">
        <x:f>IF(C5="BUY",(O5+P5-I5)/I5,0)</x:f>
        <x:v>0</x:v>
      </x:c>
      <x:c r="R5" s="65" t="str"/>
    </x:row>
    <x:row r="6">
      <x:c r="A6" s="64" t="str">
        <x:f>'Deal Room'!A6</x:f>
        <x:v>OC-IND-02</x:v>
      </x:c>
      <x:c r="B6" s="64" t="str">
        <x:f>'Deal Room'!B6</x:f>
        <x:v>Irvine Spectrum Logistics</x:v>
      </x:c>
      <x:c r="C6" s="65" t="str">
        <x:v>PASS</x:v>
      </x:c>
      <x:c r="D6" s="66" t="n">
        <x:v>46</x:v>
      </x:c>
      <x:c r="E6" s="67" t="n">
        <x:v>0.6</x:v>
      </x:c>
      <x:c r="F6" s="67" t="n">
        <x:v>0.02</x:v>
      </x:c>
      <x:c r="G6" s="67" t="n">
        <x:v>0.052</x:v>
      </x:c>
      <x:c r="H6" s="67" t="n">
        <x:v>0.6</x:v>
      </x:c>
      <x:c r="I6" s="68" t="n">
        <x:f>IF(C6="BUY",D6*(1-E6),0)</x:f>
        <x:v>0</x:v>
      </x:c>
      <x:c r="J6" s="68" t="n">
        <x:f>IF(C6="BUY",D6*E6,0)</x:f>
        <x:v>0</x:v>
      </x:c>
      <x:c r="K6" s="68" t="n">
        <x:f>IF(C6="BUY",-PMT('Deal Room'!M6/12,'Deal Room'!N6*12,J6*1000000)*12/1000000,0)</x:f>
        <x:v>0</x:v>
      </x:c>
      <x:c r="L6" s="69" t="n">
        <x:f>IF(C6="BUY",'Deal Room'!G6/K6,0)</x:f>
        <x:v>0</x:v>
      </x:c>
      <x:c r="M6" s="68" t="n">
        <x:f>'Deal Room'!G6*(1+F6)</x:f>
        <x:v>2.43984</x:v>
      </x:c>
      <x:c r="N6" s="68" t="n">
        <x:f>M6/G6</x:f>
        <x:v>46.919999999999995</x:v>
      </x:c>
      <x:c r="O6" s="68" t="n">
        <x:f>IF(C6="BUY",N6-J6,0)</x:f>
        <x:v>0</x:v>
      </x:c>
      <x:c r="P6" s="68" t="n">
        <x:f>IF(C6="BUY",M6-K6,0)</x:f>
        <x:v>0</x:v>
      </x:c>
      <x:c r="Q6" s="70" t="n">
        <x:f>IF(C6="BUY",(O6+P6-I6)/I6,0)</x:f>
        <x:v>0</x:v>
      </x:c>
      <x:c r="R6" s="65" t="str"/>
    </x:row>
    <x:row r="7">
      <x:c r="A7" s="64" t="str">
        <x:f>'Deal Room'!A7</x:f>
        <x:v>OC-OFF-01</x:v>
      </x:c>
      <x:c r="B7" s="64" t="str">
        <x:f>'Deal Room'!B7</x:f>
        <x:v>Jamboree Office Plaza</x:v>
      </x:c>
      <x:c r="C7" s="65" t="str">
        <x:v>PASS</x:v>
      </x:c>
      <x:c r="D7" s="66" t="n">
        <x:v>49</x:v>
      </x:c>
      <x:c r="E7" s="67" t="n">
        <x:v>0.6</x:v>
      </x:c>
      <x:c r="F7" s="67" t="n">
        <x:v>0.02</x:v>
      </x:c>
      <x:c r="G7" s="67" t="n">
        <x:v>0.07</x:v>
      </x:c>
      <x:c r="H7" s="67" t="n">
        <x:v>0.6</x:v>
      </x:c>
      <x:c r="I7" s="68" t="n">
        <x:f>IF(C7="BUY",D7*(1-E7),0)</x:f>
        <x:v>0</x:v>
      </x:c>
      <x:c r="J7" s="68" t="n">
        <x:f>IF(C7="BUY",D7*E7,0)</x:f>
        <x:v>0</x:v>
      </x:c>
      <x:c r="K7" s="68" t="n">
        <x:f>IF(C7="BUY",-PMT('Deal Room'!M7/12,'Deal Room'!N7*12,J7*1000000)*12/1000000,0)</x:f>
        <x:v>0</x:v>
      </x:c>
      <x:c r="L7" s="69" t="n">
        <x:f>IF(C7="BUY",'Deal Room'!G7/K7,0)</x:f>
        <x:v>0</x:v>
      </x:c>
      <x:c r="M7" s="68" t="n">
        <x:f>'Deal Room'!G7*(1+F7)</x:f>
        <x:v>3.4986</x:v>
      </x:c>
      <x:c r="N7" s="68" t="n">
        <x:f>M7/G7</x:f>
        <x:v>49.98</x:v>
      </x:c>
      <x:c r="O7" s="68" t="n">
        <x:f>IF(C7="BUY",N7-J7,0)</x:f>
        <x:v>0</x:v>
      </x:c>
      <x:c r="P7" s="68" t="n">
        <x:f>IF(C7="BUY",M7-K7,0)</x:f>
        <x:v>0</x:v>
      </x:c>
      <x:c r="Q7" s="70" t="n">
        <x:f>IF(C7="BUY",(O7+P7-I7)/I7,0)</x:f>
        <x:v>0</x:v>
      </x:c>
      <x:c r="R7" s="65" t="str"/>
    </x:row>
    <x:row r="8">
      <x:c r="A8" s="64" t="str">
        <x:f>'Deal Room'!A8</x:f>
        <x:v>OC-OFF-02</x:v>
      </x:c>
      <x:c r="B8" s="64" t="str">
        <x:f>'Deal Room'!B8</x:f>
        <x:v>Newport Gateway Offices</x:v>
      </x:c>
      <x:c r="C8" s="65" t="str">
        <x:v>PASS</x:v>
      </x:c>
      <x:c r="D8" s="66" t="n">
        <x:v>61</x:v>
      </x:c>
      <x:c r="E8" s="67" t="n">
        <x:v>0.6</x:v>
      </x:c>
      <x:c r="F8" s="67" t="n">
        <x:v>0.02</x:v>
      </x:c>
      <x:c r="G8" s="67" t="n">
        <x:v>0.066</x:v>
      </x:c>
      <x:c r="H8" s="67" t="n">
        <x:v>0.6</x:v>
      </x:c>
      <x:c r="I8" s="68" t="n">
        <x:f>IF(C8="BUY",D8*(1-E8),0)</x:f>
        <x:v>0</x:v>
      </x:c>
      <x:c r="J8" s="68" t="n">
        <x:f>IF(C8="BUY",D8*E8,0)</x:f>
        <x:v>0</x:v>
      </x:c>
      <x:c r="K8" s="68" t="n">
        <x:f>IF(C8="BUY",-PMT('Deal Room'!M8/12,'Deal Room'!N8*12,J8*1000000)*12/1000000,0)</x:f>
        <x:v>0</x:v>
      </x:c>
      <x:c r="L8" s="69" t="n">
        <x:f>IF(C8="BUY",'Deal Room'!G8/K8,0)</x:f>
        <x:v>0</x:v>
      </x:c>
      <x:c r="M8" s="68" t="n">
        <x:f>'Deal Room'!G8*(1+F8)</x:f>
        <x:v>4.10652</x:v>
      </x:c>
      <x:c r="N8" s="68" t="n">
        <x:f>M8/G8</x:f>
        <x:v>62.21999999999999</x:v>
      </x:c>
      <x:c r="O8" s="68" t="n">
        <x:f>IF(C8="BUY",N8-J8,0)</x:f>
        <x:v>0</x:v>
      </x:c>
      <x:c r="P8" s="68" t="n">
        <x:f>IF(C8="BUY",M8-K8,0)</x:f>
        <x:v>0</x:v>
      </x:c>
      <x:c r="Q8" s="70" t="n">
        <x:f>IF(C8="BUY",(O8+P8-I8)/I8,0)</x:f>
        <x:v>0</x:v>
      </x:c>
      <x:c r="R8" s="65" t="str"/>
    </x:row>
    <x:row r="9">
      <x:c r="A9" s="64" t="str">
        <x:f>'Deal Room'!A9</x:f>
        <x:v>OC-MF-01</x:v>
      </x:c>
      <x:c r="B9" s="64" t="str">
        <x:f>'Deal Room'!B9</x:f>
        <x:v>Orange Grove Apartments</x:v>
      </x:c>
      <x:c r="C9" s="65" t="str">
        <x:v>PASS</x:v>
      </x:c>
      <x:c r="D9" s="66" t="n">
        <x:v>71</x:v>
      </x:c>
      <x:c r="E9" s="67" t="n">
        <x:v>0.6</x:v>
      </x:c>
      <x:c r="F9" s="67" t="n">
        <x:v>0.02</x:v>
      </x:c>
      <x:c r="G9" s="67" t="n">
        <x:v>0.05</x:v>
      </x:c>
      <x:c r="H9" s="67" t="n">
        <x:v>0.6</x:v>
      </x:c>
      <x:c r="I9" s="68" t="n">
        <x:f>IF(C9="BUY",D9*(1-E9),0)</x:f>
        <x:v>0</x:v>
      </x:c>
      <x:c r="J9" s="68" t="n">
        <x:f>IF(C9="BUY",D9*E9,0)</x:f>
        <x:v>0</x:v>
      </x:c>
      <x:c r="K9" s="68" t="n">
        <x:f>IF(C9="BUY",-PMT('Deal Room'!M9/12,'Deal Room'!N9*12,J9*1000000)*12/1000000,0)</x:f>
        <x:v>0</x:v>
      </x:c>
      <x:c r="L9" s="69" t="n">
        <x:f>IF(C9="BUY",'Deal Room'!G9/K9,0)</x:f>
        <x:v>0</x:v>
      </x:c>
      <x:c r="M9" s="68" t="n">
        <x:f>'Deal Room'!G9*(1+F9)</x:f>
        <x:v>3.621</x:v>
      </x:c>
      <x:c r="N9" s="68" t="n">
        <x:f>M9/G9</x:f>
        <x:v>72.42</x:v>
      </x:c>
      <x:c r="O9" s="68" t="n">
        <x:f>IF(C9="BUY",N9-J9,0)</x:f>
        <x:v>0</x:v>
      </x:c>
      <x:c r="P9" s="68" t="n">
        <x:f>IF(C9="BUY",M9-K9,0)</x:f>
        <x:v>0</x:v>
      </x:c>
      <x:c r="Q9" s="70" t="n">
        <x:f>IF(C9="BUY",(O9+P9-I9)/I9,0)</x:f>
        <x:v>0</x:v>
      </x:c>
      <x:c r="R9" s="65" t="str"/>
    </x:row>
    <x:row r="10">
      <x:c r="A10" s="64" t="str">
        <x:f>'Deal Room'!A10</x:f>
        <x:v>OC-MF-02</x:v>
      </x:c>
      <x:c r="B10" s="64" t="str">
        <x:f>'Deal Room'!B10</x:f>
        <x:v>Santa Ana Urban Flats</x:v>
      </x:c>
      <x:c r="C10" s="65" t="str">
        <x:v>PASS</x:v>
      </x:c>
      <x:c r="D10" s="66" t="n">
        <x:v>84</x:v>
      </x:c>
      <x:c r="E10" s="67" t="n">
        <x:v>0.6</x:v>
      </x:c>
      <x:c r="F10" s="67" t="n">
        <x:v>0.02</x:v>
      </x:c>
      <x:c r="G10" s="67" t="n">
        <x:v>0.055</x:v>
      </x:c>
      <x:c r="H10" s="67" t="n">
        <x:v>0.6</x:v>
      </x:c>
      <x:c r="I10" s="68" t="n">
        <x:f>IF(C10="BUY",D10*(1-E10),0)</x:f>
        <x:v>0</x:v>
      </x:c>
      <x:c r="J10" s="68" t="n">
        <x:f>IF(C10="BUY",D10*E10,0)</x:f>
        <x:v>0</x:v>
      </x:c>
      <x:c r="K10" s="68" t="n">
        <x:f>IF(C10="BUY",-PMT('Deal Room'!M10/12,'Deal Room'!N10*12,J10*1000000)*12/1000000,0)</x:f>
        <x:v>0</x:v>
      </x:c>
      <x:c r="L10" s="69" t="n">
        <x:f>IF(C10="BUY",'Deal Room'!G10/K10,0)</x:f>
        <x:v>0</x:v>
      </x:c>
      <x:c r="M10" s="68" t="n">
        <x:f>'Deal Room'!G10*(1+F10)</x:f>
        <x:v>4.712400000000001</x:v>
      </x:c>
      <x:c r="N10" s="68" t="n">
        <x:f>M10/G10</x:f>
        <x:v>85.68</x:v>
      </x:c>
      <x:c r="O10" s="68" t="n">
        <x:f>IF(C10="BUY",N10-J10,0)</x:f>
        <x:v>0</x:v>
      </x:c>
      <x:c r="P10" s="68" t="n">
        <x:f>IF(C10="BUY",M10-K10,0)</x:f>
        <x:v>0</x:v>
      </x:c>
      <x:c r="Q10" s="70" t="n">
        <x:f>IF(C10="BUY",(O10+P10-I10)/I10,0)</x:f>
        <x:v>0</x:v>
      </x:c>
      <x:c r="R10" s="65" t="str"/>
    </x:row>
    <x:row r="11">
      <x:c r="A11" s="64" t="str">
        <x:f>'Deal Room'!A11</x:f>
        <x:v>OC-RTL-01</x:v>
      </x:c>
      <x:c r="B11" s="64" t="str">
        <x:f>'Deal Room'!B11</x:f>
        <x:v>Costa Mesa Retail Row</x:v>
      </x:c>
      <x:c r="C11" s="65" t="str">
        <x:v>PASS</x:v>
      </x:c>
      <x:c r="D11" s="66" t="n">
        <x:v>38</x:v>
      </x:c>
      <x:c r="E11" s="67" t="n">
        <x:v>0.6</x:v>
      </x:c>
      <x:c r="F11" s="67" t="n">
        <x:v>0.02</x:v>
      </x:c>
      <x:c r="G11" s="67" t="n">
        <x:v>0.063</x:v>
      </x:c>
      <x:c r="H11" s="67" t="n">
        <x:v>0.6</x:v>
      </x:c>
      <x:c r="I11" s="68" t="n">
        <x:f>IF(C11="BUY",D11*(1-E11),0)</x:f>
        <x:v>0</x:v>
      </x:c>
      <x:c r="J11" s="68" t="n">
        <x:f>IF(C11="BUY",D11*E11,0)</x:f>
        <x:v>0</x:v>
      </x:c>
      <x:c r="K11" s="68" t="n">
        <x:f>IF(C11="BUY",-PMT('Deal Room'!M11/12,'Deal Room'!N11*12,J11*1000000)*12/1000000,0)</x:f>
        <x:v>0</x:v>
      </x:c>
      <x:c r="L11" s="69" t="n">
        <x:f>IF(C11="BUY",'Deal Room'!G11/K11,0)</x:f>
        <x:v>0</x:v>
      </x:c>
      <x:c r="M11" s="68" t="n">
        <x:f>'Deal Room'!G11*(1+F11)</x:f>
        <x:v>2.4418800000000003</x:v>
      </x:c>
      <x:c r="N11" s="68" t="n">
        <x:f>M11/G11</x:f>
        <x:v>38.760000000000005</x:v>
      </x:c>
      <x:c r="O11" s="68" t="n">
        <x:f>IF(C11="BUY",N11-J11,0)</x:f>
        <x:v>0</x:v>
      </x:c>
      <x:c r="P11" s="68" t="n">
        <x:f>IF(C11="BUY",M11-K11,0)</x:f>
        <x:v>0</x:v>
      </x:c>
      <x:c r="Q11" s="70" t="n">
        <x:f>IF(C11="BUY",(O11+P11-I11)/I11,0)</x:f>
        <x:v>0</x:v>
      </x:c>
      <x:c r="R11" s="65" t="str"/>
    </x:row>
    <x:row r="12">
      <x:c r="A12" s="64" t="str">
        <x:f>'Deal Room'!A12</x:f>
        <x:v>OC-RTL-02</x:v>
      </x:c>
      <x:c r="B12" s="64" t="str">
        <x:f>'Deal Room'!B12</x:f>
        <x:v>Fullerton Marketplace</x:v>
      </x:c>
      <x:c r="C12" s="65" t="str">
        <x:v>PASS</x:v>
      </x:c>
      <x:c r="D12" s="66" t="n">
        <x:v>44</x:v>
      </x:c>
      <x:c r="E12" s="67" t="n">
        <x:v>0.6</x:v>
      </x:c>
      <x:c r="F12" s="67" t="n">
        <x:v>0.02</x:v>
      </x:c>
      <x:c r="G12" s="67" t="n">
        <x:v>0.066</x:v>
      </x:c>
      <x:c r="H12" s="67" t="n">
        <x:v>0.6</x:v>
      </x:c>
      <x:c r="I12" s="68" t="n">
        <x:f>IF(C12="BUY",D12*(1-E12),0)</x:f>
        <x:v>0</x:v>
      </x:c>
      <x:c r="J12" s="68" t="n">
        <x:f>IF(C12="BUY",D12*E12,0)</x:f>
        <x:v>0</x:v>
      </x:c>
      <x:c r="K12" s="68" t="n">
        <x:f>IF(C12="BUY",-PMT('Deal Room'!M12/12,'Deal Room'!N12*12,J12*1000000)*12/1000000,0)</x:f>
        <x:v>0</x:v>
      </x:c>
      <x:c r="L12" s="69" t="n">
        <x:f>IF(C12="BUY",'Deal Room'!G12/K12,0)</x:f>
        <x:v>0</x:v>
      </x:c>
      <x:c r="M12" s="68" t="n">
        <x:f>'Deal Room'!G12*(1+F12)</x:f>
        <x:v>2.96208</x:v>
      </x:c>
      <x:c r="N12" s="68" t="n">
        <x:f>M12/G12</x:f>
        <x:v>44.879999999999995</x:v>
      </x:c>
      <x:c r="O12" s="68" t="n">
        <x:f>IF(C12="BUY",N12-J12,0)</x:f>
        <x:v>0</x:v>
      </x:c>
      <x:c r="P12" s="68" t="n">
        <x:f>IF(C12="BUY",M12-K12,0)</x:f>
        <x:v>0</x:v>
      </x:c>
      <x:c r="Q12" s="70" t="n">
        <x:f>IF(C12="BUY",(O12+P12-I12)/I12,0)</x:f>
        <x:v>0</x:v>
      </x:c>
      <x:c r="R12" s="65" t="str"/>
    </x:row>
  </x:sheetData>
  <x:mergeCells>
    <x:mergeCell ref="A1:R2"/>
  </x:mergeCells>
  <x:conditionalFormatting sqref="L5:L12">
    <x:cfRule type="expression" dxfId="0" priority="1">
      <x:formula>AND($C5="BUY",$L5&lt;1.20)</x:formula>
    </x:cfRule>
  </x:conditionalFormatting>
  <x:conditionalFormatting sqref="Q5:Q12">
    <x:cfRule type="colorScale" priority="2">
      <x:colorScale>
        <x:cfvo type="min"/>
        <x:cfvo type="percentile" val="50"/>
        <x:cfvo type="max"/>
        <x:color rgb="FFF8696B"/>
        <x:color rgb="FFFFEB84"/>
        <x:color rgb="FF63BE7B"/>
      </x:colorScale>
    </x:cfRule>
  </x:conditionalFormatting>
  <x:dataValidations count="1">
    <x:dataValidation type="list" sqref="C5:C12">
      <x:formula1>"BUY,PASS"</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8" hidden="0" customWidth="1"/>
    <x:col min="3" max="3" width="16" hidden="0" customWidth="1"/>
    <x:col min="4" max="4" width="18" hidden="0" customWidth="1"/>
    <x:col min="5" max="5" width="16" hidden="0" customWidth="1"/>
    <x:col min="6" max="6" width="20" hidden="0" customWidth="1"/>
    <x:col min="7" max="7" width="18" hidden="0" customWidth="1"/>
    <x:col min="8" max="8" width="18" hidden="0" customWidth="1"/>
    <x:col min="9" max="9" width="16" hidden="0" customWidth="1"/>
  </x:cols>
  <x:sheetData>
    <x:row r="1">
      <x:c r="A1" s="4" t="str">
        <x:v>Professor Control — Select the Market That Actually Happens</x:v>
      </x:c>
      <x:c r="B1" s="4"/>
      <x:c r="C1" s="4"/>
      <x:c r="D1" s="4"/>
      <x:c r="E1" s="4"/>
      <x:c r="F1" s="4"/>
      <x:c r="G1" s="4"/>
      <x:c r="H1" s="4"/>
      <x:c r="I1" s="4"/>
    </x:row>
    <x:row r="2">
      <x:c r="A2" s="4"/>
      <x:c r="B2" s="4"/>
      <x:c r="C2" s="4"/>
      <x:c r="D2" s="4"/>
      <x:c r="E2" s="4"/>
      <x:c r="F2" s="4"/>
      <x:c r="G2" s="4"/>
      <x:c r="H2" s="4"/>
      <x:c r="I2" s="4"/>
    </x:row>
    <x:row r="4">
      <x:c r="A4" s="22" t="str">
        <x:v>Control</x:v>
      </x:c>
      <x:c r="B4" s="22" t="str">
        <x:v>Value</x:v>
      </x:c>
    </x:row>
    <x:row r="5">
      <x:c r="A5" t="str">
        <x:v>Scenario</x:v>
      </x:c>
      <x:c r="B5" s="50" t="str">
        <x:v>Base Case</x:v>
      </x:c>
    </x:row>
    <x:row r="6">
      <x:c r="A6" t="str">
        <x:v>Hurdle Rate</x:v>
      </x:c>
      <x:c r="B6" s="54" t="n">
        <x:v>0.08</x:v>
      </x:c>
    </x:row>
    <x:row r="7">
      <x:c r="A7" t="str">
        <x:v>Risk DSCR Floor</x:v>
      </x:c>
      <x:c r="B7" s="78" t="n">
        <x:v>1.2</x:v>
      </x:c>
    </x:row>
    <x:row r="9">
      <x:c r="A9" s="22" t="str">
        <x:v>Scenario</x:v>
      </x:c>
      <x:c r="B9" s="22" t="str">
        <x:v>Industrial NOI Growth</x:v>
      </x:c>
      <x:c r="C9" s="22" t="str">
        <x:v>Industrial Cap Δ</x:v>
      </x:c>
      <x:c r="D9" s="22" t="str">
        <x:v>Office NOI Growth</x:v>
      </x:c>
      <x:c r="E9" s="22" t="str">
        <x:v>Office Cap Δ</x:v>
      </x:c>
      <x:c r="F9" s="22" t="str">
        <x:v>Multifamily NOI Growth</x:v>
      </x:c>
      <x:c r="G9" s="22" t="str">
        <x:v>Multifamily Cap Δ</x:v>
      </x:c>
      <x:c r="H9" s="22" t="str">
        <x:v>Retail NOI Growth</x:v>
      </x:c>
      <x:c r="I9" s="22" t="str">
        <x:v>Retail Cap Δ</x:v>
      </x:c>
    </x:row>
    <x:row r="10">
      <x:c r="A10" t="str">
        <x:v>Base Case</x:v>
      </x:c>
      <x:c r="B10" s="28" t="n">
        <x:v>-0.01</x:v>
      </x:c>
      <x:c r="C10" s="28" t="n">
        <x:v>0.001</x:v>
      </x:c>
      <x:c r="D10" s="28" t="n">
        <x:v>0.01</x:v>
      </x:c>
      <x:c r="E10" s="28" t="n">
        <x:v>0</x:v>
      </x:c>
      <x:c r="F10" s="28" t="n">
        <x:v>0.025</x:v>
      </x:c>
      <x:c r="G10" s="28" t="n">
        <x:v>0.0005</x:v>
      </x:c>
      <x:c r="H10" s="28" t="n">
        <x:v>0.015</x:v>
      </x:c>
      <x:c r="I10" s="28" t="n">
        <x:v>0.001</x:v>
      </x:c>
    </x:row>
    <x:row r="11">
      <x:c r="A11" t="str">
        <x:v>Rate Shock</x:v>
      </x:c>
      <x:c r="B11" s="28" t="n">
        <x:v>-0.025</x:v>
      </x:c>
      <x:c r="C11" s="28" t="n">
        <x:v>0.0065</x:v>
      </x:c>
      <x:c r="D11" s="28" t="n">
        <x:v>-0.04</x:v>
      </x:c>
      <x:c r="E11" s="28" t="n">
        <x:v>0.008</x:v>
      </x:c>
      <x:c r="F11" s="28" t="n">
        <x:v>0.005</x:v>
      </x:c>
      <x:c r="G11" s="28" t="n">
        <x:v>0.005</x:v>
      </x:c>
      <x:c r="H11" s="28" t="n">
        <x:v>-0.02</x:v>
      </x:c>
      <x:c r="I11" s="28" t="n">
        <x:v>0.007</x:v>
      </x:c>
    </x:row>
    <x:row r="12">
      <x:c r="A12" t="str">
        <x:v>Growth Rebound</x:v>
      </x:c>
      <x:c r="B12" s="28" t="n">
        <x:v>0.04</x:v>
      </x:c>
      <x:c r="C12" s="28" t="n">
        <x:v>-0.002</x:v>
      </x:c>
      <x:c r="D12" s="28" t="n">
        <x:v>0.03</x:v>
      </x:c>
      <x:c r="E12" s="28" t="n">
        <x:v>-0.0015</x:v>
      </x:c>
      <x:c r="F12" s="28" t="n">
        <x:v>0.04</x:v>
      </x:c>
      <x:c r="G12" s="28" t="n">
        <x:v>-0.001</x:v>
      </x:c>
      <x:c r="H12" s="28" t="n">
        <x:v>0.03</x:v>
      </x:c>
      <x:c r="I12" s="28" t="n">
        <x:v>-0.0015</x:v>
      </x:c>
    </x:row>
    <x:row r="14">
      <x:c r="A14" s="14" t="str">
        <x:v>These scenario shocks are classroom assumptions, not forecasts. They are deliberately transparent in the MVP. A production 605 version can replace them with historical distributions, instructor-uploaded scenarios, or a Monte Carlo engine so that students face uncertainty rather than a single deterministic outcome.</x:v>
      </x:c>
      <x:c r="B14" s="14"/>
      <x:c r="C14" s="14"/>
      <x:c r="D14" s="14"/>
      <x:c r="E14" s="14"/>
      <x:c r="F14" s="14"/>
      <x:c r="G14" s="14"/>
      <x:c r="H14" s="14"/>
      <x:c r="I14" s="14"/>
    </x:row>
    <x:row r="15">
      <x:c r="A15" s="14"/>
      <x:c r="B15" s="14"/>
      <x:c r="C15" s="14"/>
      <x:c r="D15" s="14"/>
      <x:c r="E15" s="14"/>
      <x:c r="F15" s="14"/>
      <x:c r="G15" s="14"/>
      <x:c r="H15" s="14"/>
      <x:c r="I15" s="14"/>
    </x:row>
    <x:row r="16">
      <x:c r="A16" s="14"/>
      <x:c r="B16" s="14"/>
      <x:c r="C16" s="14"/>
      <x:c r="D16" s="14"/>
      <x:c r="E16" s="14"/>
      <x:c r="F16" s="14"/>
      <x:c r="G16" s="14"/>
      <x:c r="H16" s="14"/>
      <x:c r="I16" s="14"/>
    </x:row>
    <x:row r="17">
      <x:c r="A17" s="14"/>
      <x:c r="B17" s="14"/>
      <x:c r="C17" s="14"/>
      <x:c r="D17" s="14"/>
      <x:c r="E17" s="14"/>
      <x:c r="F17" s="14"/>
      <x:c r="G17" s="14"/>
      <x:c r="H17" s="14"/>
      <x:c r="I17" s="14"/>
    </x:row>
    <x:row r="18">
      <x:c r="A18" s="14"/>
      <x:c r="B18" s="14"/>
      <x:c r="C18" s="14"/>
      <x:c r="D18" s="14"/>
      <x:c r="E18" s="14"/>
      <x:c r="F18" s="14"/>
      <x:c r="G18" s="14"/>
      <x:c r="H18" s="14"/>
      <x:c r="I18" s="14"/>
    </x:row>
  </x:sheetData>
  <x:mergeCells>
    <x:mergeCell ref="A1:I2"/>
    <x:mergeCell ref="A14:I18"/>
  </x:mergeCells>
  <x:dataValidations count="1">
    <x:dataValidation type="list" sqref="B5">
      <x:formula1>"Base Case,Rate Shock,Growth Rebound"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5" hidden="0" customWidth="1"/>
    <x:col min="3" max="3" width="14" hidden="0" customWidth="1"/>
    <x:col min="4" max="4" width="11" hidden="0" customWidth="1"/>
    <x:col min="5" max="5" width="12" hidden="0" customWidth="1"/>
    <x:col min="6" max="6" width="13" hidden="0" customWidth="1"/>
    <x:col min="7" max="7" width="12" hidden="0" customWidth="1"/>
    <x:col min="8" max="8" width="15" hidden="0" customWidth="1"/>
    <x:col min="9" max="9" width="12" hidden="0" customWidth="1"/>
    <x:col min="10" max="10" width="16" hidden="0" customWidth="1"/>
    <x:col min="11" max="11" width="14" hidden="0" customWidth="1"/>
    <x:col min="12" max="12" width="17" hidden="0" customWidth="1"/>
    <x:col min="13" max="13" width="17" hidden="0" customWidth="1"/>
    <x:col min="14" max="14" width="18" hidden="0" customWidth="1"/>
    <x:col min="15" max="15" width="18" hidden="0" customWidth="1"/>
    <x:col min="16" max="16" width="16" hidden="0" customWidth="1"/>
    <x:col min="17" max="17" width="17" hidden="0" customWidth="1"/>
    <x:col min="18" max="18" width="14" hidden="0" customWidth="1"/>
    <x:col min="19" max="19" width="14" hidden="0" customWidth="1"/>
    <x:col min="20" max="20" width="14" hidden="0" customWidth="1"/>
  </x:cols>
  <x:sheetData>
    <x:row r="1">
      <x:c r="A1" s="4" t="str">
        <x:v>Round Results — Decision Quality + Forecast Accuracy + Risk</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22" t="str">
        <x:v>Deal ID</x:v>
      </x:c>
      <x:c r="B4" s="22" t="str">
        <x:v>Property</x:v>
      </x:c>
      <x:c r="C4" s="22" t="str">
        <x:v>Type</x:v>
      </x:c>
      <x:c r="D4" s="22" t="str">
        <x:v>Decision</x:v>
      </x:c>
      <x:c r="E4" s="22" t="str">
        <x:v>Bid ($mm)</x:v>
      </x:c>
      <x:c r="F4" s="22" t="str">
        <x:v>Equity ($mm)</x:v>
      </x:c>
      <x:c r="G4" s="22" t="str">
        <x:v>Debt ($mm)</x:v>
      </x:c>
      <x:c r="H4" s="22" t="str">
        <x:v>Actual NOI Growth</x:v>
      </x:c>
      <x:c r="I4" s="22" t="str">
        <x:v>Actual Cap Δ</x:v>
      </x:c>
      <x:c r="J4" s="22" t="str">
        <x:v>Actual Yr1 NOI ($mm)</x:v>
      </x:c>
      <x:c r="K4" s="22" t="str">
        <x:v>Actual Exit Cap</x:v>
      </x:c>
      <x:c r="L4" s="22" t="str">
        <x:v>Actual Yr1 Value ($mm)</x:v>
      </x:c>
      <x:c r="M4" s="22" t="str">
        <x:v>Actual Cash Flow ($mm)</x:v>
      </x:c>
      <x:c r="N4" s="22" t="str">
        <x:v>Actual Equity Value ($mm)</x:v>
      </x:c>
      <x:c r="O4" s="22" t="str">
        <x:v>Actual 1Y Equity Return</x:v>
      </x:c>
      <x:c r="P4" s="22" t="str">
        <x:v>Forecast Value Error</x:v>
      </x:c>
      <x:c r="Q4" s="22" t="str">
        <x:v>Unlevered Deal Return</x:v>
      </x:c>
      <x:c r="R4" s="22" t="str">
        <x:v>Decision Score</x:v>
      </x:c>
      <x:c r="S4" s="22" t="str">
        <x:v>Forecast Score</x:v>
      </x:c>
      <x:c r="T4" s="22" t="str">
        <x:v>Total Score</x:v>
      </x:c>
    </x:row>
    <x:row r="5">
      <x:c r="A5" s="64" t="str">
        <x:f>'Deal Room'!A5</x:f>
        <x:v>OC-IND-01</x:v>
      </x:c>
      <x:c r="B5" s="64" t="str">
        <x:f>'Deal Room'!B5</x:f>
        <x:v>Anaheim Commerce Center</x:v>
      </x:c>
      <x:c r="C5" s="64" t="str">
        <x:f>'Deal Room'!C5</x:f>
        <x:v>Industrial</x:v>
      </x:c>
      <x:c r="D5" s="64" t="str">
        <x:f>'Student Decisions'!C5</x:f>
        <x:v>PASS</x:v>
      </x:c>
      <x:c r="E5" s="86" t="n">
        <x:f>'Student Decisions'!D5</x:f>
        <x:v>52</x:v>
      </x:c>
      <x:c r="F5" s="86" t="n">
        <x:f>'Student Decisions'!I5</x:f>
        <x:v>0</x:v>
      </x:c>
      <x:c r="G5" s="86" t="n">
        <x:f>'Student Decisions'!J5</x:f>
        <x:v>0</x:v>
      </x:c>
      <x:c r="H5" s="87" t="n">
        <x:f>IF(C5="Industrial",INDEX('Professor Control'!$B$10:$B$12,MATCH('Professor Control'!$B$5,'Professor Control'!$A$10:$A$12,0)),IF(C5="Office",INDEX('Professor Control'!$D$10:$D$12,MATCH('Professor Control'!$B$5,'Professor Control'!$A$10:$A$12,0)),IF(C5="Multifamily",INDEX('Professor Control'!$F$10:$F$12,MATCH('Professor Control'!$B$5,'Professor Control'!$A$10:$A$12,0)),INDEX('Professor Control'!$H$10:$H$12,MATCH('Professor Control'!$B$5,'Professor Control'!$A$10:$A$12,0)))))</x:f>
        <x:v>-0.01</x:v>
      </x:c>
      <x:c r="I5" s="87" t="n">
        <x:f>IF(C5="Industrial",INDEX('Professor Control'!$C$10:$C$12,MATCH('Professor Control'!$B$5,'Professor Control'!$A$10:$A$12,0)),IF(C5="Office",INDEX('Professor Control'!$E$10:$E$12,MATCH('Professor Control'!$B$5,'Professor Control'!$A$10:$A$12,0)),IF(C5="Multifamily",INDEX('Professor Control'!$G$10:$G$12,MATCH('Professor Control'!$B$5,'Professor Control'!$A$10:$A$12,0)),INDEX('Professor Control'!$I$10:$I$12,MATCH('Professor Control'!$B$5,'Professor Control'!$A$10:$A$12,0)))))</x:f>
        <x:v>0.001</x:v>
      </x:c>
      <x:c r="J5" s="86" t="n">
        <x:f>'Deal Room'!G5*(1+H5)</x:f>
        <x:v>2.98584</x:v>
      </x:c>
      <x:c r="K5" s="87" t="n">
        <x:f>'Deal Room'!H5+I5</x:f>
        <x:v>0.059000000000000004</x:v>
      </x:c>
      <x:c r="L5" s="86" t="n">
        <x:f>J5/K5</x:f>
        <x:v>50.60745762711864</x:v>
      </x:c>
      <x:c r="M5" s="86" t="n">
        <x:f>IF(D5="BUY",J5-'Student Decisions'!K5,0)</x:f>
        <x:v>0</x:v>
      </x:c>
      <x:c r="N5" s="86" t="n">
        <x:f>IF(D5="BUY",L5-G5,0)</x:f>
        <x:v>0</x:v>
      </x:c>
      <x:c r="O5" s="87" t="n">
        <x:f>IF(D5="BUY",(N5+M5-F5)/F5,0)</x:f>
        <x:v>0</x:v>
      </x:c>
      <x:c r="P5" s="87" t="n">
        <x:f>ABS('Student Decisions'!N5-L5)/L5</x:f>
        <x:v>0.04806687565308258</x:v>
      </x:c>
      <x:c r="Q5" s="87" t="n">
        <x:f>(L5+J5-'Deal Room'!F5)/'Deal Room'!F5</x:f>
        <x:v>0.03064033898305086</x:v>
      </x:c>
      <x:c r="R5" s="88" t="n">
        <x:f>IF(D5="BUY",MAX(0,MIN(100,60*(O5+0.20)/0.40+40*MIN(1,'Student Decisions'!L5/1.50))),IF(Q5&lt;'Professor Control'!$B$6,80,35))</x:f>
        <x:v>80</x:v>
      </x:c>
      <x:c r="S5" s="88" t="n">
        <x:f>MAX(0,100*(1-MIN(1,P5)))</x:f>
        <x:v>95.19331243469175</x:v>
      </x:c>
      <x:c r="T5" s="88" t="n">
        <x:f>0.55*R5+0.30*S5+0.15*IF(D5="BUY",MIN(100,'Student Decisions'!L5/'Professor Control'!$B$7*80),80)</x:f>
        <x:v>84.55799373040753</x:v>
      </x:c>
    </x:row>
    <x:row r="6">
      <x:c r="A6" s="64" t="str">
        <x:f>'Deal Room'!A6</x:f>
        <x:v>OC-IND-02</x:v>
      </x:c>
      <x:c r="B6" s="64" t="str">
        <x:f>'Deal Room'!B6</x:f>
        <x:v>Irvine Spectrum Logistics</x:v>
      </x:c>
      <x:c r="C6" s="64" t="str">
        <x:f>'Deal Room'!C6</x:f>
        <x:v>Industrial</x:v>
      </x:c>
      <x:c r="D6" s="64" t="str">
        <x:f>'Student Decisions'!C6</x:f>
        <x:v>PASS</x:v>
      </x:c>
      <x:c r="E6" s="86" t="n">
        <x:f>'Student Decisions'!D6</x:f>
        <x:v>46</x:v>
      </x:c>
      <x:c r="F6" s="86" t="n">
        <x:f>'Student Decisions'!I6</x:f>
        <x:v>0</x:v>
      </x:c>
      <x:c r="G6" s="86" t="n">
        <x:f>'Student Decisions'!J6</x:f>
        <x:v>0</x:v>
      </x:c>
      <x:c r="H6" s="87" t="n">
        <x:f>IF(C6="Industrial",INDEX('Professor Control'!$B$10:$B$12,MATCH('Professor Control'!$B$5,'Professor Control'!$A$10:$A$12,0)),IF(C6="Office",INDEX('Professor Control'!$D$10:$D$12,MATCH('Professor Control'!$B$5,'Professor Control'!$A$10:$A$12,0)),IF(C6="Multifamily",INDEX('Professor Control'!$F$10:$F$12,MATCH('Professor Control'!$B$5,'Professor Control'!$A$10:$A$12,0)),INDEX('Professor Control'!$H$10:$H$12,MATCH('Professor Control'!$B$5,'Professor Control'!$A$10:$A$12,0)))))</x:f>
        <x:v>-0.01</x:v>
      </x:c>
      <x:c r="I6" s="87" t="n">
        <x:f>IF(C6="Industrial",INDEX('Professor Control'!$C$10:$C$12,MATCH('Professor Control'!$B$5,'Professor Control'!$A$10:$A$12,0)),IF(C6="Office",INDEX('Professor Control'!$E$10:$E$12,MATCH('Professor Control'!$B$5,'Professor Control'!$A$10:$A$12,0)),IF(C6="Multifamily",INDEX('Professor Control'!$G$10:$G$12,MATCH('Professor Control'!$B$5,'Professor Control'!$A$10:$A$12,0)),INDEX('Professor Control'!$I$10:$I$12,MATCH('Professor Control'!$B$5,'Professor Control'!$A$10:$A$12,0)))))</x:f>
        <x:v>0.001</x:v>
      </x:c>
      <x:c r="J6" s="86" t="n">
        <x:f>'Deal Room'!G6*(1+H6)</x:f>
        <x:v>2.36808</x:v>
      </x:c>
      <x:c r="K6" s="87" t="n">
        <x:f>'Deal Room'!H6+I6</x:f>
        <x:v>0.053</x:v>
      </x:c>
      <x:c r="L6" s="86" t="n">
        <x:f>J6/K6</x:f>
        <x:v>44.680754716981134</x:v>
      </x:c>
      <x:c r="M6" s="86" t="n">
        <x:f>IF(D6="BUY",J6-'Student Decisions'!K6,0)</x:f>
        <x:v>0</x:v>
      </x:c>
      <x:c r="N6" s="86" t="n">
        <x:f>IF(D6="BUY",L6-G6,0)</x:f>
        <x:v>0</x:v>
      </x:c>
      <x:c r="O6" s="87" t="n">
        <x:f>IF(D6="BUY",(N6+M6-F6)/F6,0)</x:f>
        <x:v>0</x:v>
      </x:c>
      <x:c r="P6" s="87" t="n">
        <x:f>ABS('Student Decisions'!N6-L6)/L6</x:f>
        <x:v>0.050116550116549946</x:v>
      </x:c>
      <x:c r="Q6" s="87" t="n">
        <x:f>(L6+J6-'Deal Room'!F6)/'Deal Room'!F6</x:f>
        <x:v>0.02280075471698116</x:v>
      </x:c>
      <x:c r="R6" s="88" t="n">
        <x:f>IF(D6="BUY",MAX(0,MIN(100,60*(O6+0.20)/0.40+40*MIN(1,'Student Decisions'!L6/1.50))),IF(Q6&lt;'Professor Control'!$B$6,80,35))</x:f>
        <x:v>80</x:v>
      </x:c>
      <x:c r="S6" s="88" t="n">
        <x:f>MAX(0,100*(1-MIN(1,P6)))</x:f>
        <x:v>94.988344988345</x:v>
      </x:c>
      <x:c r="T6" s="88" t="n">
        <x:f>0.55*R6+0.30*S6+0.15*IF(D6="BUY",MIN(100,'Student Decisions'!L6/'Professor Control'!$B$7*80),80)</x:f>
        <x:v>84.4965034965035</x:v>
      </x:c>
    </x:row>
    <x:row r="7">
      <x:c r="A7" s="64" t="str">
        <x:f>'Deal Room'!A7</x:f>
        <x:v>OC-OFF-01</x:v>
      </x:c>
      <x:c r="B7" s="64" t="str">
        <x:f>'Deal Room'!B7</x:f>
        <x:v>Jamboree Office Plaza</x:v>
      </x:c>
      <x:c r="C7" s="64" t="str">
        <x:f>'Deal Room'!C7</x:f>
        <x:v>Office</x:v>
      </x:c>
      <x:c r="D7" s="64" t="str">
        <x:f>'Student Decisions'!C7</x:f>
        <x:v>PASS</x:v>
      </x:c>
      <x:c r="E7" s="86" t="n">
        <x:f>'Student Decisions'!D7</x:f>
        <x:v>49</x:v>
      </x:c>
      <x:c r="F7" s="86" t="n">
        <x:f>'Student Decisions'!I7</x:f>
        <x:v>0</x:v>
      </x:c>
      <x:c r="G7" s="86" t="n">
        <x:f>'Student Decisions'!J7</x:f>
        <x:v>0</x:v>
      </x:c>
      <x:c r="H7" s="87" t="n">
        <x:f>IF(C7="Industrial",INDEX('Professor Control'!$B$10:$B$12,MATCH('Professor Control'!$B$5,'Professor Control'!$A$10:$A$12,0)),IF(C7="Office",INDEX('Professor Control'!$D$10:$D$12,MATCH('Professor Control'!$B$5,'Professor Control'!$A$10:$A$12,0)),IF(C7="Multifamily",INDEX('Professor Control'!$F$10:$F$12,MATCH('Professor Control'!$B$5,'Professor Control'!$A$10:$A$12,0)),INDEX('Professor Control'!$H$10:$H$12,MATCH('Professor Control'!$B$5,'Professor Control'!$A$10:$A$12,0)))))</x:f>
        <x:v>0.01</x:v>
      </x:c>
      <x:c r="I7" s="87" t="n">
        <x:f>IF(C7="Industrial",INDEX('Professor Control'!$C$10:$C$12,MATCH('Professor Control'!$B$5,'Professor Control'!$A$10:$A$12,0)),IF(C7="Office",INDEX('Professor Control'!$E$10:$E$12,MATCH('Professor Control'!$B$5,'Professor Control'!$A$10:$A$12,0)),IF(C7="Multifamily",INDEX('Professor Control'!$G$10:$G$12,MATCH('Professor Control'!$B$5,'Professor Control'!$A$10:$A$12,0)),INDEX('Professor Control'!$I$10:$I$12,MATCH('Professor Control'!$B$5,'Professor Control'!$A$10:$A$12,0)))))</x:f>
        <x:v>0</x:v>
      </x:c>
      <x:c r="J7" s="86" t="n">
        <x:f>'Deal Room'!G7*(1+H7)</x:f>
        <x:v>3.4643</x:v>
      </x:c>
      <x:c r="K7" s="87" t="n">
        <x:f>'Deal Room'!H7+I7</x:f>
        <x:v>0.07</x:v>
      </x:c>
      <x:c r="L7" s="86" t="n">
        <x:f>J7/K7</x:f>
        <x:v>49.489999999999995</x:v>
      </x:c>
      <x:c r="M7" s="86" t="n">
        <x:f>IF(D7="BUY",J7-'Student Decisions'!K7,0)</x:f>
        <x:v>0</x:v>
      </x:c>
      <x:c r="N7" s="86" t="n">
        <x:f>IF(D7="BUY",L7-G7,0)</x:f>
        <x:v>0</x:v>
      </x:c>
      <x:c r="O7" s="87" t="n">
        <x:f>IF(D7="BUY",(N7+M7-F7)/F7,0)</x:f>
        <x:v>0</x:v>
      </x:c>
      <x:c r="P7" s="87" t="n">
        <x:f>ABS('Student Decisions'!N7-L7)/L7</x:f>
        <x:v>0.009900990099009943</x:v>
      </x:c>
      <x:c r="Q7" s="87" t="n">
        <x:f>(L7+J7-'Deal Room'!F7)/'Deal Room'!F7</x:f>
        <x:v>0.08069999999999992</x:v>
      </x:c>
      <x:c r="R7" s="88" t="n">
        <x:f>IF(D7="BUY",MAX(0,MIN(100,60*(O7+0.20)/0.40+40*MIN(1,'Student Decisions'!L7/1.50))),IF(Q7&lt;'Professor Control'!$B$6,80,35))</x:f>
        <x:v>35</x:v>
      </x:c>
      <x:c r="S7" s="88" t="n">
        <x:f>MAX(0,100*(1-MIN(1,P7)))</x:f>
        <x:v>99.00990099009901</x:v>
      </x:c>
      <x:c r="T7" s="88" t="n">
        <x:f>0.55*R7+0.30*S7+0.15*IF(D7="BUY",MIN(100,'Student Decisions'!L7/'Professor Control'!$B$7*80),80)</x:f>
        <x:v>60.9529702970297</x:v>
      </x:c>
    </x:row>
    <x:row r="8">
      <x:c r="A8" s="64" t="str">
        <x:f>'Deal Room'!A8</x:f>
        <x:v>OC-OFF-02</x:v>
      </x:c>
      <x:c r="B8" s="64" t="str">
        <x:f>'Deal Room'!B8</x:f>
        <x:v>Newport Gateway Offices</x:v>
      </x:c>
      <x:c r="C8" s="64" t="str">
        <x:f>'Deal Room'!C8</x:f>
        <x:v>Office</x:v>
      </x:c>
      <x:c r="D8" s="64" t="str">
        <x:f>'Student Decisions'!C8</x:f>
        <x:v>PASS</x:v>
      </x:c>
      <x:c r="E8" s="86" t="n">
        <x:f>'Student Decisions'!D8</x:f>
        <x:v>61</x:v>
      </x:c>
      <x:c r="F8" s="86" t="n">
        <x:f>'Student Decisions'!I8</x:f>
        <x:v>0</x:v>
      </x:c>
      <x:c r="G8" s="86" t="n">
        <x:f>'Student Decisions'!J8</x:f>
        <x:v>0</x:v>
      </x:c>
      <x:c r="H8" s="87" t="n">
        <x:f>IF(C8="Industrial",INDEX('Professor Control'!$B$10:$B$12,MATCH('Professor Control'!$B$5,'Professor Control'!$A$10:$A$12,0)),IF(C8="Office",INDEX('Professor Control'!$D$10:$D$12,MATCH('Professor Control'!$B$5,'Professor Control'!$A$10:$A$12,0)),IF(C8="Multifamily",INDEX('Professor Control'!$F$10:$F$12,MATCH('Professor Control'!$B$5,'Professor Control'!$A$10:$A$12,0)),INDEX('Professor Control'!$H$10:$H$12,MATCH('Professor Control'!$B$5,'Professor Control'!$A$10:$A$12,0)))))</x:f>
        <x:v>0.01</x:v>
      </x:c>
      <x:c r="I8" s="87" t="n">
        <x:f>IF(C8="Industrial",INDEX('Professor Control'!$C$10:$C$12,MATCH('Professor Control'!$B$5,'Professor Control'!$A$10:$A$12,0)),IF(C8="Office",INDEX('Professor Control'!$E$10:$E$12,MATCH('Professor Control'!$B$5,'Professor Control'!$A$10:$A$12,0)),IF(C8="Multifamily",INDEX('Professor Control'!$G$10:$G$12,MATCH('Professor Control'!$B$5,'Professor Control'!$A$10:$A$12,0)),INDEX('Professor Control'!$I$10:$I$12,MATCH('Professor Control'!$B$5,'Professor Control'!$A$10:$A$12,0)))))</x:f>
        <x:v>0</x:v>
      </x:c>
      <x:c r="J8" s="86" t="n">
        <x:f>'Deal Room'!G8*(1+H8)</x:f>
        <x:v>4.06626</x:v>
      </x:c>
      <x:c r="K8" s="87" t="n">
        <x:f>'Deal Room'!H8+I8</x:f>
        <x:v>0.066</x:v>
      </x:c>
      <x:c r="L8" s="86" t="n">
        <x:f>J8/K8</x:f>
        <x:v>61.60999999999999</x:v>
      </x:c>
      <x:c r="M8" s="86" t="n">
        <x:f>IF(D8="BUY",J8-'Student Decisions'!K8,0)</x:f>
        <x:v>0</x:v>
      </x:c>
      <x:c r="N8" s="86" t="n">
        <x:f>IF(D8="BUY",L8-G8,0)</x:f>
        <x:v>0</x:v>
      </x:c>
      <x:c r="O8" s="87" t="n">
        <x:f>IF(D8="BUY",(N8+M8-F8)/F8,0)</x:f>
        <x:v>0</x:v>
      </x:c>
      <x:c r="P8" s="87" t="n">
        <x:f>ABS('Student Decisions'!N8-L8)/L8</x:f>
        <x:v>0.009900990099009892</x:v>
      </x:c>
      <x:c r="Q8" s="87" t="n">
        <x:f>(L8+J8-'Deal Room'!F8)/'Deal Room'!F8</x:f>
        <x:v>0.07665999999999976</x:v>
      </x:c>
      <x:c r="R8" s="88" t="n">
        <x:f>IF(D8="BUY",MAX(0,MIN(100,60*(O8+0.20)/0.40+40*MIN(1,'Student Decisions'!L8/1.50))),IF(Q8&lt;'Professor Control'!$B$6,80,35))</x:f>
        <x:v>80</x:v>
      </x:c>
      <x:c r="S8" s="88" t="n">
        <x:f>MAX(0,100*(1-MIN(1,P8)))</x:f>
        <x:v>99.00990099009901</x:v>
      </x:c>
      <x:c r="T8" s="88" t="n">
        <x:f>0.55*R8+0.30*S8+0.15*IF(D8="BUY",MIN(100,'Student Decisions'!L8/'Professor Control'!$B$7*80),80)</x:f>
        <x:v>85.70297029702971</x:v>
      </x:c>
    </x:row>
    <x:row r="9">
      <x:c r="A9" s="64" t="str">
        <x:f>'Deal Room'!A9</x:f>
        <x:v>OC-MF-01</x:v>
      </x:c>
      <x:c r="B9" s="64" t="str">
        <x:f>'Deal Room'!B9</x:f>
        <x:v>Orange Grove Apartments</x:v>
      </x:c>
      <x:c r="C9" s="64" t="str">
        <x:f>'Deal Room'!C9</x:f>
        <x:v>Multifamily</x:v>
      </x:c>
      <x:c r="D9" s="64" t="str">
        <x:f>'Student Decisions'!C9</x:f>
        <x:v>PASS</x:v>
      </x:c>
      <x:c r="E9" s="86" t="n">
        <x:f>'Student Decisions'!D9</x:f>
        <x:v>71</x:v>
      </x:c>
      <x:c r="F9" s="86" t="n">
        <x:f>'Student Decisions'!I9</x:f>
        <x:v>0</x:v>
      </x:c>
      <x:c r="G9" s="86" t="n">
        <x:f>'Student Decisions'!J9</x:f>
        <x:v>0</x:v>
      </x:c>
      <x:c r="H9" s="87" t="n">
        <x:f>IF(C9="Industrial",INDEX('Professor Control'!$B$10:$B$12,MATCH('Professor Control'!$B$5,'Professor Control'!$A$10:$A$12,0)),IF(C9="Office",INDEX('Professor Control'!$D$10:$D$12,MATCH('Professor Control'!$B$5,'Professor Control'!$A$10:$A$12,0)),IF(C9="Multifamily",INDEX('Professor Control'!$F$10:$F$12,MATCH('Professor Control'!$B$5,'Professor Control'!$A$10:$A$12,0)),INDEX('Professor Control'!$H$10:$H$12,MATCH('Professor Control'!$B$5,'Professor Control'!$A$10:$A$12,0)))))</x:f>
        <x:v>0.025</x:v>
      </x:c>
      <x:c r="I9" s="87" t="n">
        <x:f>IF(C9="Industrial",INDEX('Professor Control'!$C$10:$C$12,MATCH('Professor Control'!$B$5,'Professor Control'!$A$10:$A$12,0)),IF(C9="Office",INDEX('Professor Control'!$E$10:$E$12,MATCH('Professor Control'!$B$5,'Professor Control'!$A$10:$A$12,0)),IF(C9="Multifamily",INDEX('Professor Control'!$G$10:$G$12,MATCH('Professor Control'!$B$5,'Professor Control'!$A$10:$A$12,0)),INDEX('Professor Control'!$I$10:$I$12,MATCH('Professor Control'!$B$5,'Professor Control'!$A$10:$A$12,0)))))</x:f>
        <x:v>0.0005</x:v>
      </x:c>
      <x:c r="J9" s="86" t="n">
        <x:f>'Deal Room'!G9*(1+H9)</x:f>
        <x:v>3.6387499999999995</x:v>
      </x:c>
      <x:c r="K9" s="87" t="n">
        <x:f>'Deal Room'!H9+I9</x:f>
        <x:v>0.0505</x:v>
      </x:c>
      <x:c r="L9" s="86" t="n">
        <x:f>J9/K9</x:f>
        <x:v>72.05445544554453</x:v>
      </x:c>
      <x:c r="M9" s="86" t="n">
        <x:f>IF(D9="BUY",J9-'Student Decisions'!K9,0)</x:f>
        <x:v>0</x:v>
      </x:c>
      <x:c r="N9" s="86" t="n">
        <x:f>IF(D9="BUY",L9-G9,0)</x:f>
        <x:v>0</x:v>
      </x:c>
      <x:c r="O9" s="87" t="n">
        <x:f>IF(D9="BUY",(N9+M9-F9)/F9,0)</x:f>
        <x:v>0</x:v>
      </x:c>
      <x:c r="P9" s="87" t="n">
        <x:f>ABS('Student Decisions'!N9-L9)/L9</x:f>
        <x:v>0.005073170731707631</x:v>
      </x:c>
      <x:c r="Q9" s="87" t="n">
        <x:f>(L9+J9-'Deal Room'!F9)/'Deal Room'!F9</x:f>
        <x:v>0.06610148514851458</x:v>
      </x:c>
      <x:c r="R9" s="88" t="n">
        <x:f>IF(D9="BUY",MAX(0,MIN(100,60*(O9+0.20)/0.40+40*MIN(1,'Student Decisions'!L9/1.50))),IF(Q9&lt;'Professor Control'!$B$6,80,35))</x:f>
        <x:v>80</x:v>
      </x:c>
      <x:c r="S9" s="88" t="n">
        <x:f>MAX(0,100*(1-MIN(1,P9)))</x:f>
        <x:v>99.49268292682923</x:v>
      </x:c>
      <x:c r="T9" s="88" t="n">
        <x:f>0.55*R9+0.30*S9+0.15*IF(D9="BUY",MIN(100,'Student Decisions'!L9/'Professor Control'!$B$7*80),80)</x:f>
        <x:v>85.84780487804878</x:v>
      </x:c>
    </x:row>
    <x:row r="10">
      <x:c r="A10" s="64" t="str">
        <x:f>'Deal Room'!A10</x:f>
        <x:v>OC-MF-02</x:v>
      </x:c>
      <x:c r="B10" s="64" t="str">
        <x:f>'Deal Room'!B10</x:f>
        <x:v>Santa Ana Urban Flats</x:v>
      </x:c>
      <x:c r="C10" s="64" t="str">
        <x:f>'Deal Room'!C10</x:f>
        <x:v>Multifamily</x:v>
      </x:c>
      <x:c r="D10" s="64" t="str">
        <x:f>'Student Decisions'!C10</x:f>
        <x:v>PASS</x:v>
      </x:c>
      <x:c r="E10" s="86" t="n">
        <x:f>'Student Decisions'!D10</x:f>
        <x:v>84</x:v>
      </x:c>
      <x:c r="F10" s="86" t="n">
        <x:f>'Student Decisions'!I10</x:f>
        <x:v>0</x:v>
      </x:c>
      <x:c r="G10" s="86" t="n">
        <x:f>'Student Decisions'!J10</x:f>
        <x:v>0</x:v>
      </x:c>
      <x:c r="H10" s="87" t="n">
        <x:f>IF(C10="Industrial",INDEX('Professor Control'!$B$10:$B$12,MATCH('Professor Control'!$B$5,'Professor Control'!$A$10:$A$12,0)),IF(C10="Office",INDEX('Professor Control'!$D$10:$D$12,MATCH('Professor Control'!$B$5,'Professor Control'!$A$10:$A$12,0)),IF(C10="Multifamily",INDEX('Professor Control'!$F$10:$F$12,MATCH('Professor Control'!$B$5,'Professor Control'!$A$10:$A$12,0)),INDEX('Professor Control'!$H$10:$H$12,MATCH('Professor Control'!$B$5,'Professor Control'!$A$10:$A$12,0)))))</x:f>
        <x:v>0.025</x:v>
      </x:c>
      <x:c r="I10" s="87" t="n">
        <x:f>IF(C10="Industrial",INDEX('Professor Control'!$C$10:$C$12,MATCH('Professor Control'!$B$5,'Professor Control'!$A$10:$A$12,0)),IF(C10="Office",INDEX('Professor Control'!$E$10:$E$12,MATCH('Professor Control'!$B$5,'Professor Control'!$A$10:$A$12,0)),IF(C10="Multifamily",INDEX('Professor Control'!$G$10:$G$12,MATCH('Professor Control'!$B$5,'Professor Control'!$A$10:$A$12,0)),INDEX('Professor Control'!$I$10:$I$12,MATCH('Professor Control'!$B$5,'Professor Control'!$A$10:$A$12,0)))))</x:f>
        <x:v>0.0005</x:v>
      </x:c>
      <x:c r="J10" s="86" t="n">
        <x:f>'Deal Room'!G10*(1+H10)</x:f>
        <x:v>4.7355</x:v>
      </x:c>
      <x:c r="K10" s="87" t="n">
        <x:f>'Deal Room'!H10+I10</x:f>
        <x:v>0.0555</x:v>
      </x:c>
      <x:c r="L10" s="86" t="n">
        <x:f>J10/K10</x:f>
        <x:v>85.32432432432432</x:v>
      </x:c>
      <x:c r="M10" s="86" t="n">
        <x:f>IF(D10="BUY",J10-'Student Decisions'!K10,0)</x:f>
        <x:v>0</x:v>
      </x:c>
      <x:c r="N10" s="86" t="n">
        <x:f>IF(D10="BUY",L10-G10,0)</x:f>
        <x:v>0</x:v>
      </x:c>
      <x:c r="O10" s="87" t="n">
        <x:f>IF(D10="BUY",(N10+M10-F10)/F10,0)</x:f>
        <x:v>0</x:v>
      </x:c>
      <x:c r="P10" s="87" t="n">
        <x:f>ABS('Student Decisions'!N10-L10)/L10</x:f>
        <x:v>0.0041685144124169494</x:v>
      </x:c>
      <x:c r="Q10" s="87" t="n">
        <x:f>(L10+J10-'Deal Room'!F10)/'Deal Room'!F10</x:f>
        <x:v>0.07214076576576577</x:v>
      </x:c>
      <x:c r="R10" s="88" t="n">
        <x:f>IF(D10="BUY",MAX(0,MIN(100,60*(O10+0.20)/0.40+40*MIN(1,'Student Decisions'!L10/1.50))),IF(Q10&lt;'Professor Control'!$B$6,80,35))</x:f>
        <x:v>80</x:v>
      </x:c>
      <x:c r="S10" s="88" t="n">
        <x:f>MAX(0,100*(1-MIN(1,P10)))</x:f>
        <x:v>99.58314855875831</x:v>
      </x:c>
      <x:c r="T10" s="88" t="n">
        <x:f>0.55*R10+0.30*S10+0.15*IF(D10="BUY",MIN(100,'Student Decisions'!L10/'Professor Control'!$B$7*80),80)</x:f>
        <x:v>85.8749445676275</x:v>
      </x:c>
    </x:row>
    <x:row r="11">
      <x:c r="A11" s="64" t="str">
        <x:f>'Deal Room'!A11</x:f>
        <x:v>OC-RTL-01</x:v>
      </x:c>
      <x:c r="B11" s="64" t="str">
        <x:f>'Deal Room'!B11</x:f>
        <x:v>Costa Mesa Retail Row</x:v>
      </x:c>
      <x:c r="C11" s="64" t="str">
        <x:f>'Deal Room'!C11</x:f>
        <x:v>Retail</x:v>
      </x:c>
      <x:c r="D11" s="64" t="str">
        <x:f>'Student Decisions'!C11</x:f>
        <x:v>PASS</x:v>
      </x:c>
      <x:c r="E11" s="86" t="n">
        <x:f>'Student Decisions'!D11</x:f>
        <x:v>38</x:v>
      </x:c>
      <x:c r="F11" s="86" t="n">
        <x:f>'Student Decisions'!I11</x:f>
        <x:v>0</x:v>
      </x:c>
      <x:c r="G11" s="86" t="n">
        <x:f>'Student Decisions'!J11</x:f>
        <x:v>0</x:v>
      </x:c>
      <x:c r="H11" s="87" t="n">
        <x:f>IF(C11="Industrial",INDEX('Professor Control'!$B$10:$B$12,MATCH('Professor Control'!$B$5,'Professor Control'!$A$10:$A$12,0)),IF(C11="Office",INDEX('Professor Control'!$D$10:$D$12,MATCH('Professor Control'!$B$5,'Professor Control'!$A$10:$A$12,0)),IF(C11="Multifamily",INDEX('Professor Control'!$F$10:$F$12,MATCH('Professor Control'!$B$5,'Professor Control'!$A$10:$A$12,0)),INDEX('Professor Control'!$H$10:$H$12,MATCH('Professor Control'!$B$5,'Professor Control'!$A$10:$A$12,0)))))</x:f>
        <x:v>0.015</x:v>
      </x:c>
      <x:c r="I11" s="87" t="n">
        <x:f>IF(C11="Industrial",INDEX('Professor Control'!$C$10:$C$12,MATCH('Professor Control'!$B$5,'Professor Control'!$A$10:$A$12,0)),IF(C11="Office",INDEX('Professor Control'!$E$10:$E$12,MATCH('Professor Control'!$B$5,'Professor Control'!$A$10:$A$12,0)),IF(C11="Multifamily",INDEX('Professor Control'!$G$10:$G$12,MATCH('Professor Control'!$B$5,'Professor Control'!$A$10:$A$12,0)),INDEX('Professor Control'!$I$10:$I$12,MATCH('Professor Control'!$B$5,'Professor Control'!$A$10:$A$12,0)))))</x:f>
        <x:v>0.001</x:v>
      </x:c>
      <x:c r="J11" s="86" t="n">
        <x:f>'Deal Room'!G11*(1+H11)</x:f>
        <x:v>2.42991</x:v>
      </x:c>
      <x:c r="K11" s="87" t="n">
        <x:f>'Deal Room'!H11+I11</x:f>
        <x:v>0.064</x:v>
      </x:c>
      <x:c r="L11" s="86" t="n">
        <x:f>J11/K11</x:f>
        <x:v>37.96734375</x:v>
      </x:c>
      <x:c r="M11" s="86" t="n">
        <x:f>IF(D11="BUY",J11-'Student Decisions'!K11,0)</x:f>
        <x:v>0</x:v>
      </x:c>
      <x:c r="N11" s="86" t="n">
        <x:f>IF(D11="BUY",L11-G11,0)</x:f>
        <x:v>0</x:v>
      </x:c>
      <x:c r="O11" s="87" t="n">
        <x:f>IF(D11="BUY",(N11+M11-F11)/F11,0)</x:f>
        <x:v>0</x:v>
      </x:c>
      <x:c r="P11" s="87" t="n">
        <x:f>ABS('Student Decisions'!N11-L11)/L11</x:f>
        <x:v>0.020877316443819103</x:v>
      </x:c>
      <x:c r="Q11" s="87" t="n">
        <x:f>(L11+J11-'Deal Room'!F11)/'Deal Room'!F11</x:f>
        <x:v>0.06308562499999992</x:v>
      </x:c>
      <x:c r="R11" s="88" t="n">
        <x:f>IF(D11="BUY",MAX(0,MIN(100,60*(O11+0.20)/0.40+40*MIN(1,'Student Decisions'!L11/1.50))),IF(Q11&lt;'Professor Control'!$B$6,80,35))</x:f>
        <x:v>80</x:v>
      </x:c>
      <x:c r="S11" s="88" t="n">
        <x:f>MAX(0,100*(1-MIN(1,P11)))</x:f>
        <x:v>97.9122683556181</x:v>
      </x:c>
      <x:c r="T11" s="88" t="n">
        <x:f>0.55*R11+0.30*S11+0.15*IF(D11="BUY",MIN(100,'Student Decisions'!L11/'Professor Control'!$B$7*80),80)</x:f>
        <x:v>85.37368050668543</x:v>
      </x:c>
    </x:row>
    <x:row r="12">
      <x:c r="A12" s="64" t="str">
        <x:f>'Deal Room'!A12</x:f>
        <x:v>OC-RTL-02</x:v>
      </x:c>
      <x:c r="B12" s="64" t="str">
        <x:f>'Deal Room'!B12</x:f>
        <x:v>Fullerton Marketplace</x:v>
      </x:c>
      <x:c r="C12" s="64" t="str">
        <x:f>'Deal Room'!C12</x:f>
        <x:v>Retail</x:v>
      </x:c>
      <x:c r="D12" s="64" t="str">
        <x:f>'Student Decisions'!C12</x:f>
        <x:v>PASS</x:v>
      </x:c>
      <x:c r="E12" s="86" t="n">
        <x:f>'Student Decisions'!D12</x:f>
        <x:v>44</x:v>
      </x:c>
      <x:c r="F12" s="86" t="n">
        <x:f>'Student Decisions'!I12</x:f>
        <x:v>0</x:v>
      </x:c>
      <x:c r="G12" s="86" t="n">
        <x:f>'Student Decisions'!J12</x:f>
        <x:v>0</x:v>
      </x:c>
      <x:c r="H12" s="87" t="n">
        <x:f>IF(C12="Industrial",INDEX('Professor Control'!$B$10:$B$12,MATCH('Professor Control'!$B$5,'Professor Control'!$A$10:$A$12,0)),IF(C12="Office",INDEX('Professor Control'!$D$10:$D$12,MATCH('Professor Control'!$B$5,'Professor Control'!$A$10:$A$12,0)),IF(C12="Multifamily",INDEX('Professor Control'!$F$10:$F$12,MATCH('Professor Control'!$B$5,'Professor Control'!$A$10:$A$12,0)),INDEX('Professor Control'!$H$10:$H$12,MATCH('Professor Control'!$B$5,'Professor Control'!$A$10:$A$12,0)))))</x:f>
        <x:v>0.015</x:v>
      </x:c>
      <x:c r="I12" s="87" t="n">
        <x:f>IF(C12="Industrial",INDEX('Professor Control'!$C$10:$C$12,MATCH('Professor Control'!$B$5,'Professor Control'!$A$10:$A$12,0)),IF(C12="Office",INDEX('Professor Control'!$E$10:$E$12,MATCH('Professor Control'!$B$5,'Professor Control'!$A$10:$A$12,0)),IF(C12="Multifamily",INDEX('Professor Control'!$G$10:$G$12,MATCH('Professor Control'!$B$5,'Professor Control'!$A$10:$A$12,0)),INDEX('Professor Control'!$I$10:$I$12,MATCH('Professor Control'!$B$5,'Professor Control'!$A$10:$A$12,0)))))</x:f>
        <x:v>0.001</x:v>
      </x:c>
      <x:c r="J12" s="86" t="n">
        <x:f>'Deal Room'!G12*(1+H12)</x:f>
        <x:v>2.9475599999999997</x:v>
      </x:c>
      <x:c r="K12" s="87" t="n">
        <x:f>'Deal Room'!H12+I12</x:f>
        <x:v>0.067</x:v>
      </x:c>
      <x:c r="L12" s="86" t="n">
        <x:f>J12/K12</x:f>
        <x:v>43.99343283582089</x:v>
      </x:c>
      <x:c r="M12" s="86" t="n">
        <x:f>IF(D12="BUY",J12-'Student Decisions'!K12,0)</x:f>
        <x:v>0</x:v>
      </x:c>
      <x:c r="N12" s="86" t="n">
        <x:f>IF(D12="BUY",L12-G12,0)</x:f>
        <x:v>0</x:v>
      </x:c>
      <x:c r="O12" s="87" t="n">
        <x:f>IF(D12="BUY",(N12+M12-F12)/F12,0)</x:f>
        <x:v>0</x:v>
      </x:c>
      <x:c r="P12" s="87" t="n">
        <x:f>ABS('Student Decisions'!N12-L12)/L12</x:f>
        <x:v>0.0201522615315719</x:v>
      </x:c>
      <x:c r="Q12" s="87" t="n">
        <x:f>(L12+J12-'Deal Room'!F12)/'Deal Room'!F12</x:f>
        <x:v>0.06684074626865666</x:v>
      </x:c>
      <x:c r="R12" s="88" t="n">
        <x:f>IF(D12="BUY",MAX(0,MIN(100,60*(O12+0.20)/0.40+40*MIN(1,'Student Decisions'!L12/1.50))),IF(Q12&lt;'Professor Control'!$B$6,80,35))</x:f>
        <x:v>80</x:v>
      </x:c>
      <x:c r="S12" s="88" t="n">
        <x:f>MAX(0,100*(1-MIN(1,P12)))</x:f>
        <x:v>97.98477384684281</x:v>
      </x:c>
      <x:c r="T12" s="88" t="n">
        <x:f>0.55*R12+0.30*S12+0.15*IF(D12="BUY",MIN(100,'Student Decisions'!L12/'Professor Control'!$B$7*80),80)</x:f>
        <x:v>85.39543215405284</x:v>
      </x:c>
    </x:row>
    <x:row r="15">
      <x:c r="A15" s="10" t="str">
        <x:v>Portfolio / Team Summary</x:v>
      </x:c>
      <x:c r="B15" s="10"/>
      <x:c r="C15" s="10"/>
      <x:c r="D15" s="10"/>
    </x:row>
    <x:row r="16">
      <x:c r="A16" s="22" t="str">
        <x:v>Metric</x:v>
      </x:c>
      <x:c r="B16" s="22" t="str">
        <x:v>Value</x:v>
      </x:c>
    </x:row>
    <x:row r="17">
      <x:c r="A17" t="str">
        <x:v>Total Equity Deployed ($mm)</x:v>
      </x:c>
      <x:c r="B17" s="40" t="n">
        <x:f>SUM(F5:F12)</x:f>
        <x:v>0</x:v>
      </x:c>
    </x:row>
    <x:row r="18">
      <x:c r="A18" t="str">
        <x:v>Average BUY Return</x:v>
      </x:c>
      <x:c r="B18" s="28" t="n">
        <x:f>IFERROR(SUMIF(D5:D12,"BUY",O5:O12)/COUNTIF(D5:D12,"BUY"),0)</x:f>
        <x:v>0</x:v>
      </x:c>
    </x:row>
    <x:row r="19">
      <x:c r="A19" t="str">
        <x:v>Average Forecast Error</x:v>
      </x:c>
      <x:c r="B19" s="28" t="n">
        <x:f>AVERAGE(P5:P12)</x:f>
        <x:v>0.021032083635895992</x:v>
      </x:c>
    </x:row>
    <x:row r="20">
      <x:c r="A20" t="str">
        <x:v>Average Score</x:v>
      </x:c>
      <x:c r="B20" s="42" t="n">
        <x:f>AVERAGE(T5:T12)</x:f>
        <x:v>82.27528749092313</x:v>
      </x:c>
    </x:row>
  </x:sheetData>
  <x:mergeCells>
    <x:mergeCell ref="A1:T2"/>
    <x:mergeCell ref="A15:D15"/>
  </x:mergeCells>
  <x:conditionalFormatting sqref="T5:T12">
    <x:cfRule type="colorScale" priority="1">
      <x:colorScale>
        <x:cfvo type="min"/>
        <x:cfvo type="percentile" val="50"/>
        <x:cfvo type="max"/>
        <x:color rgb="FFF8696B"/>
        <x:color rgb="FFFFEB84"/>
        <x:color rgb="FF63BE7B"/>
      </x:colorScale>
    </x:cfRule>
  </x:conditionalFormatting>
  <x:conditionalFormatting sqref="O5:O12">
    <x:cfRule type="colorScale" priority="2">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0d31e66fefe44e19"/>
</x:worksheet>
</file>